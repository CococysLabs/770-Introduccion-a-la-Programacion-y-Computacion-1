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eferentes Internacionales" sheetId="1" r:id="rId5"/>
    <sheet state="visible" name="Análisis Contenido" sheetId="2" r:id="rId6"/>
    <sheet state="visible" name="Análisis Tecnologico" sheetId="3" r:id="rId7"/>
  </sheets>
  <definedNames/>
  <calcPr/>
</workbook>
</file>

<file path=xl/sharedStrings.xml><?xml version="1.0" encoding="utf-8"?>
<sst xmlns="http://schemas.openxmlformats.org/spreadsheetml/2006/main" count="581" uniqueCount="200">
  <si>
    <t>Comparación con referentes internacionales</t>
  </si>
  <si>
    <t>Contenido Curricular Introducción a la Programación y Computación 1 1S 2026</t>
  </si>
  <si>
    <t>Identificación de referentes internacionales</t>
  </si>
  <si>
    <t>Nombre</t>
  </si>
  <si>
    <t>Introducción a la Programación y Computación 1</t>
  </si>
  <si>
    <t>Universidad Referente</t>
  </si>
  <si>
    <t>Estándar Internacional</t>
  </si>
  <si>
    <t>Unidad</t>
  </si>
  <si>
    <t>Codigo del Curso</t>
  </si>
  <si>
    <t>770</t>
  </si>
  <si>
    <t>Tema</t>
  </si>
  <si>
    <t>Subtema</t>
  </si>
  <si>
    <t>Mes</t>
  </si>
  <si>
    <t>Semana</t>
  </si>
  <si>
    <t>Competencia</t>
  </si>
  <si>
    <t>1. Universidad Refente</t>
  </si>
  <si>
    <t>Analiza cursos similares en universidades internacionales reconocidas (como MIT, Stanford o ETH Zurich) para comparar temas, herramientas y competencias. Esto permite identificar buenas prácticas y alinear el laboratorio con tendencias globales en educación tecnológica.</t>
  </si>
  <si>
    <t>**Este ejercicio de analisis de servira para mejorar el laboratorio para el siguiente semestre.</t>
  </si>
  <si>
    <t>Universidad</t>
  </si>
  <si>
    <t>Stanford University</t>
  </si>
  <si>
    <t>Tecnologias y/o Herramientas actuales en el laboratorio</t>
  </si>
  <si>
    <t>Tendencia</t>
  </si>
  <si>
    <t>Pais</t>
  </si>
  <si>
    <t>Estados Unidos</t>
  </si>
  <si>
    <t>Curso</t>
  </si>
  <si>
    <t>CS106A - Programming Methodology</t>
  </si>
  <si>
    <t>Uso de agentes de IA para tutoría personalizada y generación de esqueletos de código (boilerplate).</t>
  </si>
  <si>
    <t>Información</t>
  </si>
  <si>
    <r>
      <rPr>
        <rFont val="Calibri"/>
        <color theme="1"/>
        <sz val="11.0"/>
      </rPr>
      <t xml:space="preserve">Este curso es la introducción principal de Stanford a la ingeniería de aplicaciones informáticas, centrada en principios de diseño orientado a objetos, descomposición, encapsulamiento y abstracción. Utiliza Java como lenguaje principal para enseñar metodología de programación y buenas prácticas de ingeniería. </t>
    </r>
    <r>
      <rPr>
        <rFont val="Calibri"/>
        <color rgb="FF1155CC"/>
        <sz val="11.0"/>
        <u/>
      </rPr>
      <t>https://see.stanford.edu/course/cs106a</t>
    </r>
    <r>
      <rPr>
        <rFont val="Calibri"/>
        <color theme="1"/>
        <sz val="11.0"/>
      </rPr>
      <t xml:space="preserve"> </t>
    </r>
  </si>
  <si>
    <t>GitHub Copilot</t>
  </si>
  <si>
    <t>1. Introducción a la Programación</t>
  </si>
  <si>
    <t>Introducción a los fundamentos de Programación</t>
  </si>
  <si>
    <t>Algoritmos</t>
  </si>
  <si>
    <t>Despliegue de proyectos finales en plataformas como Heroku, AWS o Google Cloud utilizando contenedores.</t>
  </si>
  <si>
    <t>Julio</t>
  </si>
  <si>
    <t>AWS Academy</t>
  </si>
  <si>
    <t>Analiza Estructuras de datos complejas y algoritmos de ordenamiento Utilizando técnicas de análisis de complejidad temporal y Para optimizar el rendimiento y eficiencia de aplicaciones</t>
  </si>
  <si>
    <t>Inclusión de validación de entradas y saneamiento de datos desde las primeras unidades de Java.</t>
  </si>
  <si>
    <t>Spring Boot</t>
  </si>
  <si>
    <t>Introducción a herramientas que permiten prototipado rápido para validar la lógica de negocio antes de la codificación profunda.</t>
  </si>
  <si>
    <t xml:space="preserve">Fundamentos de Java: variables, tipos de datos y expresiones aritméticas </t>
  </si>
  <si>
    <t>Visual Studio Code</t>
  </si>
  <si>
    <t>No.</t>
  </si>
  <si>
    <t>Contenido de la Universidad Referente</t>
  </si>
  <si>
    <t xml:space="preserve">Conceptos fundamentales: variables, tipos primitivos y evaluación de expresiones </t>
  </si>
  <si>
    <t>Diagramas de Flujo</t>
  </si>
  <si>
    <t>Pseudocódigo</t>
  </si>
  <si>
    <t>Agosto</t>
  </si>
  <si>
    <t xml:space="preserve">Metodología de resolución de problemas y descomposición de software </t>
  </si>
  <si>
    <t>2. Introducción al versionamiento</t>
  </si>
  <si>
    <t xml:space="preserve">Programación lógica inicial (Uso de Karel the Robot para estructuras de control) </t>
  </si>
  <si>
    <t>Introducción al manejo de control de versiones</t>
  </si>
  <si>
    <t>Introducción a versionamiento</t>
  </si>
  <si>
    <t>Colabora En equipos multidiciplinarios de desarrollo de software Aplicando metodologías ágiles, herramientas de gestión y comunicación efectiva Adaptando el nivel de detalle según el contexto y audiencia objetivo</t>
  </si>
  <si>
    <t xml:space="preserve">Persistencia de datos: Procesamiento de archivos y manejo de excepciones </t>
  </si>
  <si>
    <t xml:space="preserve">Modularidad: funciones, métodos y clases con énfasis en encapsulamiento </t>
  </si>
  <si>
    <t>Herramientas de control de versiones</t>
  </si>
  <si>
    <t xml:space="preserve">Jerarquía de clases y principios de Diseño Orientado a Objetos (POO) </t>
  </si>
  <si>
    <t>Tareas básicas de Git</t>
  </si>
  <si>
    <t>Consulta con el catedratico de los hallazgos y si debes hacer algun cambio en tecnologias y/o herramientas para el proximo semestre</t>
  </si>
  <si>
    <t>Colaboración en repositorios remotos</t>
  </si>
  <si>
    <t xml:space="preserve">Métodos, paso de parámetros y mecanismos de retorno </t>
  </si>
  <si>
    <t>3. Introducción a Java</t>
  </si>
  <si>
    <t>Introducción a Java - Parte 1</t>
  </si>
  <si>
    <t>¿Qué es Java?</t>
  </si>
  <si>
    <t>Comunica Soluciones técnicas complejas a audiencias diversas Utilizando documentación técnica, presentaciones y demostraciones interactivas Adaptando el nivel de detalle según el contexto y audiencia objetivo</t>
  </si>
  <si>
    <t xml:space="preserve">Programación interactiva y manejo de eventos (Event-driven programming) </t>
  </si>
  <si>
    <t>Introducción a Java - Parte 2</t>
  </si>
  <si>
    <t>Versiones y ambientes de java (JDK, JRE, JVM)</t>
  </si>
  <si>
    <t xml:space="preserve">Manipulación de hilos de texto (Strings) y procesamiento de caracteres </t>
  </si>
  <si>
    <t>Operadores aritméticos, relacionales y lógicos</t>
  </si>
  <si>
    <t>Introducción a Java - Parte 3</t>
  </si>
  <si>
    <t>Características de Java</t>
  </si>
  <si>
    <t>Input y output</t>
  </si>
  <si>
    <t xml:space="preserve">Estructuras de datos lineales y colecciones (Arrays, ArrayList, HashMap) </t>
  </si>
  <si>
    <t>Introducción a Java - Parte 4</t>
  </si>
  <si>
    <t>Comentarios de una línea y multilínea</t>
  </si>
  <si>
    <t xml:space="preserve">Introducción al análisis de algoritmos: búsqueda y ordenamiento </t>
  </si>
  <si>
    <t>Estructuras de control (if, else if, else y switch)</t>
  </si>
  <si>
    <t>Introducción a Java - Parte 5</t>
  </si>
  <si>
    <t>Variables</t>
  </si>
  <si>
    <t>2. Estandar Internacional</t>
  </si>
  <si>
    <t>Se identifican estándares internacionales relevantes (como ABET, CDIO o IEEE/ACM) para verificar si el laboratorio cumple con criterios de calidad educativa, competencias clave y buenas prácticas recomendadas a nivel global.</t>
  </si>
  <si>
    <t>Ciclos (for, while, do-while)</t>
  </si>
  <si>
    <t>Estandar</t>
  </si>
  <si>
    <t>Introducción a Java - Parte 6</t>
  </si>
  <si>
    <t>Tipos primitivos y no primitivos</t>
  </si>
  <si>
    <t xml:space="preserve">ACM/IEEE CS2023 - Software Development Fundamentals (SDF) </t>
  </si>
  <si>
    <t>Try-catch-finally</t>
  </si>
  <si>
    <t>Evalua Arquitecturas de software y calidad de código Empleando métricas de software, patrones de diseño y técnicas de testing Para garantizar mantenibilidad, escalabilidad y robustez del sistema</t>
  </si>
  <si>
    <t>Introducción a Java - Parte 7</t>
  </si>
  <si>
    <t>Casteos implícitos y explícitos</t>
  </si>
  <si>
    <t>Capitulo , etc,</t>
  </si>
  <si>
    <t>Procedimientos y funciones</t>
  </si>
  <si>
    <t xml:space="preserve">Knowledge Area: Software Development Fundamentals </t>
  </si>
  <si>
    <t>Introducción a Java - Parte 8</t>
  </si>
  <si>
    <t>Debugging (Breakpoint [Inline, function], start, pause, continue, stop)</t>
  </si>
  <si>
    <t>4. Manejo de Memoria</t>
  </si>
  <si>
    <t>Manejo de memoria</t>
  </si>
  <si>
    <t>Arreglos y Matrices</t>
  </si>
  <si>
    <t>Listas Dinámicas</t>
  </si>
  <si>
    <r>
      <rPr>
        <rFont val="Calibri"/>
        <color theme="1"/>
        <sz val="11.0"/>
      </rPr>
      <t xml:space="preserve">El área SDF agrupa conceptos esenciales que deben enseñarse al inicio de un programa de ciencias de la computación. Incluye fluidez en la escritura de programas, uso de estructuras de datos integradas, prácticas de calidad de software y una comprensión inicial de la eficiencia algorítmica. </t>
    </r>
    <r>
      <rPr>
        <rFont val="Calibri"/>
        <color rgb="FF1155CC"/>
        <sz val="11.0"/>
        <u/>
      </rPr>
      <t>https://csed.acm.org/wp-content/uploads/2023/09/SDF-Version-Gamma.pdf</t>
    </r>
    <r>
      <rPr>
        <rFont val="Calibri"/>
        <color theme="1"/>
        <sz val="11.0"/>
      </rPr>
      <t xml:space="preserve"> </t>
    </r>
  </si>
  <si>
    <t>Métodos de Ordenamiento</t>
  </si>
  <si>
    <t>5. Recursividad y Archivos</t>
  </si>
  <si>
    <t>Recursividad y Archivos de texto plano</t>
  </si>
  <si>
    <t>Pila de ejecución (Call Stack)</t>
  </si>
  <si>
    <t>Febrero</t>
  </si>
  <si>
    <t>Recursividad</t>
  </si>
  <si>
    <t>Manejo de archivos de texto plano</t>
  </si>
  <si>
    <t>Septiembre</t>
  </si>
  <si>
    <t>Implementa Sistemas de software con persistencia de datos Utilizando bases de datos relacionales, archivos estructurados y APIs Conforme a especificaciones de integridad, consistencia y seguridad</t>
  </si>
  <si>
    <t>6. Introducción a POO</t>
  </si>
  <si>
    <t>Conceptos y Pilares de POO</t>
  </si>
  <si>
    <t>Concepto de abstracción y clasificación</t>
  </si>
  <si>
    <t xml:space="preserve">Mecánica de programas imperativos: estado y transiciones de flujo de control </t>
  </si>
  <si>
    <t>Clases y objetos</t>
  </si>
  <si>
    <t>Mensajes y métodos</t>
  </si>
  <si>
    <t>Pilares de POO: Abstracción, Encapsulamiento, Polimorfismo, Herencia</t>
  </si>
  <si>
    <t>Los miembros de una clase</t>
  </si>
  <si>
    <t>Atributos y métodos (operaciones)</t>
  </si>
  <si>
    <t>Constructores y Destructores</t>
  </si>
  <si>
    <t>Modificadores de visibilidad: Privado, Público, Protegido</t>
  </si>
  <si>
    <t>Contenido del Estandar</t>
  </si>
  <si>
    <t>7. Introducción a Interfaces Graficas</t>
  </si>
  <si>
    <t>Introducción a Swing y Awt</t>
  </si>
  <si>
    <t>Elementos basicos de swing</t>
  </si>
  <si>
    <t>Diseña Interfaces gráficas de usuario intuitivas y funcionales Aplicando frameworks de desarrollo GUI, principios UX/UI y manejo de eventos Considerando usabilidad, accesibilidad y experiencia del usuario final</t>
  </si>
  <si>
    <t>8. Patrones de diseño</t>
  </si>
  <si>
    <t>Patron de diseño: MVC</t>
  </si>
  <si>
    <t>Definición y sus componentes</t>
  </si>
  <si>
    <t>Modelo</t>
  </si>
  <si>
    <t>Vista</t>
  </si>
  <si>
    <t>Controlador</t>
  </si>
  <si>
    <t xml:space="preserve">Entrada y salida de datos a través de consola, archivos y APIs externas </t>
  </si>
  <si>
    <t>7. POO Avanzado</t>
  </si>
  <si>
    <t>Conceptos Avanzados de POO</t>
  </si>
  <si>
    <t>Construcciones abstractas: Clase abstracta y Interface</t>
  </si>
  <si>
    <t xml:space="preserve">Tipos de datos estructurados: arreglos, listas, diccionarios, mapas y conjuntos </t>
  </si>
  <si>
    <t>Miembros estáticos (static) vs. miembros de instancia</t>
  </si>
  <si>
    <t xml:space="preserve">Algoritmos fundamentales: ordenamiento, búsqueda y recorridos básicos </t>
  </si>
  <si>
    <t>Referencia this</t>
  </si>
  <si>
    <t>Serialización de objetos en archivos</t>
  </si>
  <si>
    <t xml:space="preserve">Prácticas de desarrollo: pruebas unitarias (unit testing) y depuración visual </t>
  </si>
  <si>
    <t>9. Hilos</t>
  </si>
  <si>
    <t>Manejo de Hilos en Java</t>
  </si>
  <si>
    <t>Definición de Hilos</t>
  </si>
  <si>
    <t xml:space="preserve">Recursividad y su aplicación en la resolución de problemas computacionales </t>
  </si>
  <si>
    <t>Ciclo de vida de un hilo</t>
  </si>
  <si>
    <t>Creación de hilos</t>
  </si>
  <si>
    <t xml:space="preserve">Manejo de errores y excepciones para la robustez del sistema </t>
  </si>
  <si>
    <t>Multihilos</t>
  </si>
  <si>
    <t xml:space="preserve">Ética profesional, propiedad intelectual y responsabilidad social del programador </t>
  </si>
  <si>
    <t>10. Fundamentos de GUI</t>
  </si>
  <si>
    <t>Fundamentos de GUI, AWT y SWING</t>
  </si>
  <si>
    <t>Concepto de GUI (Interfaz gráfica de usuario).</t>
  </si>
  <si>
    <t>¿Que es AWT?</t>
  </si>
  <si>
    <t>3. Tecnologias y/o herramientas en Tendencia</t>
  </si>
  <si>
    <t>*Investiga las tecnologias y/o herramientas que estan en tendencia actualmente a nivel internacional, como por ejemplo en cuadrante de gartner</t>
  </si>
  <si>
    <t>Componentes basicos de AWT</t>
  </si>
  <si>
    <t>Gestores de diseño (Layout Managers) en AWT</t>
  </si>
  <si>
    <t>Manejo de eventos en AWT</t>
  </si>
  <si>
    <t>Link de referencia</t>
  </si>
  <si>
    <t>¿Que es SWING?</t>
  </si>
  <si>
    <t>https://github.com/features/copilot</t>
  </si>
  <si>
    <t>Componentes basicos de SWING</t>
  </si>
  <si>
    <t>11. Swing Avanzado y UML</t>
  </si>
  <si>
    <t>SWING avanzado, UML y diagramas de clases</t>
  </si>
  <si>
    <t>Gestores de diseño (Layout Managers) en SWING</t>
  </si>
  <si>
    <t>Manejo de eventos en SWING</t>
  </si>
  <si>
    <t>Diferencias entre AWT y SWING</t>
  </si>
  <si>
    <t>Drag and Drop</t>
  </si>
  <si>
    <t>¿Que es UML?</t>
  </si>
  <si>
    <t>Octubre</t>
  </si>
  <si>
    <t>https://code.visualstudio.com/</t>
  </si>
  <si>
    <t>Diagrama de clases</t>
  </si>
  <si>
    <t>Notaciones del diagrama de clases (clases, visibilidad, relaciones)</t>
  </si>
  <si>
    <t>12. Cloud computing</t>
  </si>
  <si>
    <t>Cloud Computing</t>
  </si>
  <si>
    <t>Ventajas y Desventajas</t>
  </si>
  <si>
    <t>Reflexiona Críticamente sobre el impacto ético y social de las soluciones tecnológicas Considerando principios de responsabilidad social, privacidad y sostenibilidad Para tomar decisiones técnicas éticamente informadas y responsables</t>
  </si>
  <si>
    <t>Tipos de Nube</t>
  </si>
  <si>
    <t>JavaFX (OpenJFX)</t>
  </si>
  <si>
    <t>Publica, privada, hibrida</t>
  </si>
  <si>
    <t>https://openjfx.io/</t>
  </si>
  <si>
    <t>Modelos en la Nube</t>
  </si>
  <si>
    <t>SaaS, PaaS, IaaS</t>
  </si>
  <si>
    <t>Docker</t>
  </si>
  <si>
    <t>Servicios en la nube</t>
  </si>
  <si>
    <t>https://www.docker.com/</t>
  </si>
  <si>
    <t>Proveedores de Nube</t>
  </si>
  <si>
    <t>https://aws.amazon.com/training/awsacademy/</t>
  </si>
  <si>
    <t>Terraform</t>
  </si>
  <si>
    <t>https://www.terraform.io/</t>
  </si>
  <si>
    <t>https://spring.io/projects/spring-boot</t>
  </si>
  <si>
    <t>Flutter</t>
  </si>
  <si>
    <t>https://flutter.dev/</t>
  </si>
  <si>
    <t>Google Cloud for Education</t>
  </si>
  <si>
    <t>https://cloud.google.com/edu</t>
  </si>
  <si>
    <t>Cursor</t>
  </si>
  <si>
    <t>https://cursor.sh/</t>
  </si>
</sst>
</file>

<file path=xl/styles.xml><?xml version="1.0" encoding="utf-8"?>
<styleSheet xmlns="http://schemas.openxmlformats.org/spreadsheetml/2006/main" xmlns:x14ac="http://schemas.microsoft.com/office/spreadsheetml/2009/9/ac" xmlns:mc="http://schemas.openxmlformats.org/markup-compatibility/2006">
  <fonts count="13">
    <font>
      <sz val="11.0"/>
      <color theme="1"/>
      <name val="Calibri"/>
      <scheme val="minor"/>
    </font>
    <font>
      <b/>
      <sz val="14.0"/>
      <color rgb="FFFF6600"/>
      <name val="Calibri"/>
      <scheme val="minor"/>
    </font>
    <font>
      <b/>
      <sz val="14.0"/>
      <color theme="1"/>
      <name val="Calibri"/>
      <scheme val="minor"/>
    </font>
    <font>
      <sz val="11.0"/>
      <color theme="1"/>
      <name val="Calibri"/>
    </font>
    <font>
      <b/>
      <color theme="1"/>
      <name val="Calibri"/>
      <scheme val="minor"/>
    </font>
    <font/>
    <font>
      <b/>
      <sz val="12.0"/>
      <color rgb="FF4472C4"/>
      <name val="Calibri"/>
      <scheme val="minor"/>
    </font>
    <font>
      <color rgb="FF808080"/>
      <name val="Calibri"/>
      <scheme val="minor"/>
    </font>
    <font>
      <sz val="11.0"/>
      <color rgb="FF1F1F1F"/>
      <name val="Calibri"/>
    </font>
    <font>
      <b/>
      <sz val="10.0"/>
      <color theme="1"/>
      <name val="Calibri"/>
      <scheme val="minor"/>
    </font>
    <font>
      <u/>
      <sz val="11.0"/>
      <color theme="1"/>
      <name val="Calibri"/>
    </font>
    <font>
      <b/>
      <color rgb="FF4472C4"/>
      <name val="Calibri"/>
      <scheme val="minor"/>
    </font>
    <font>
      <u/>
      <sz val="11.0"/>
      <color theme="1"/>
      <name val="Calibri"/>
    </font>
  </fonts>
  <fills count="8">
    <fill>
      <patternFill patternType="none"/>
    </fill>
    <fill>
      <patternFill patternType="lightGray"/>
    </fill>
    <fill>
      <patternFill patternType="solid">
        <fgColor rgb="FFEDEDED"/>
        <bgColor rgb="FFEDEDED"/>
      </patternFill>
    </fill>
    <fill>
      <patternFill patternType="solid">
        <fgColor rgb="FFD9E1F2"/>
        <bgColor rgb="FFD9E1F2"/>
      </patternFill>
    </fill>
    <fill>
      <patternFill patternType="solid">
        <fgColor rgb="FFFFF2CC"/>
        <bgColor rgb="FFFFF2CC"/>
      </patternFill>
    </fill>
    <fill>
      <patternFill patternType="solid">
        <fgColor rgb="FFBFBFBF"/>
        <bgColor rgb="FFBFBFBF"/>
      </patternFill>
    </fill>
    <fill>
      <patternFill patternType="solid">
        <fgColor rgb="FFF8FAFD"/>
        <bgColor rgb="FFF8FAFD"/>
      </patternFill>
    </fill>
    <fill>
      <patternFill patternType="solid">
        <fgColor rgb="FFD9D9D9"/>
        <bgColor rgb="FFD9D9D9"/>
      </patternFill>
    </fill>
  </fills>
  <borders count="6">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bottom style="thin">
        <color rgb="FF000000"/>
      </bottom>
    </border>
  </borders>
  <cellStyleXfs count="1">
    <xf borderId="0" fillId="0" fontId="0" numFmtId="0" applyAlignment="1" applyFont="1"/>
  </cellStyleXfs>
  <cellXfs count="31">
    <xf borderId="0" fillId="0" fontId="0" numFmtId="0" xfId="0" applyAlignment="1" applyFont="1">
      <alignment readingOrder="0" shrinkToFit="0" vertical="bottom" wrapText="0"/>
    </xf>
    <xf borderId="0" fillId="0" fontId="1" numFmtId="0" xfId="0" applyFont="1"/>
    <xf borderId="0" fillId="0" fontId="2" numFmtId="0" xfId="0" applyAlignment="1" applyFont="1">
      <alignment horizontal="center"/>
    </xf>
    <xf borderId="1" fillId="2" fontId="3" numFmtId="0" xfId="0" applyBorder="1" applyFill="1" applyFont="1"/>
    <xf borderId="1" fillId="3" fontId="4" numFmtId="0" xfId="0" applyAlignment="1" applyBorder="1" applyFill="1" applyFont="1">
      <alignment horizontal="center" vertical="center"/>
    </xf>
    <xf borderId="2" fillId="0" fontId="3" numFmtId="0" xfId="0" applyBorder="1" applyFont="1"/>
    <xf borderId="3" fillId="0" fontId="5" numFmtId="0" xfId="0" applyBorder="1" applyFont="1"/>
    <xf borderId="1" fillId="4" fontId="4" numFmtId="0" xfId="0" applyAlignment="1" applyBorder="1" applyFill="1" applyFont="1">
      <alignment horizontal="center" vertical="center"/>
    </xf>
    <xf borderId="4" fillId="0" fontId="5" numFmtId="0" xfId="0" applyBorder="1" applyFont="1"/>
    <xf borderId="1" fillId="5" fontId="4" numFmtId="0" xfId="0" applyAlignment="1" applyBorder="1" applyFill="1" applyFont="1">
      <alignment horizontal="center" vertical="center"/>
    </xf>
    <xf borderId="0" fillId="0" fontId="6" numFmtId="0" xfId="0" applyFont="1"/>
    <xf borderId="0" fillId="0" fontId="7" numFmtId="0" xfId="0" applyAlignment="1" applyFont="1">
      <alignment shrinkToFit="0" vertical="top" wrapText="1"/>
    </xf>
    <xf borderId="2" fillId="6" fontId="8" numFmtId="0" xfId="0" applyAlignment="1" applyBorder="1" applyFill="1" applyFont="1">
      <alignment readingOrder="0"/>
    </xf>
    <xf borderId="3" fillId="0" fontId="3" numFmtId="0" xfId="0" applyAlignment="1" applyBorder="1" applyFont="1">
      <alignment readingOrder="0"/>
    </xf>
    <xf borderId="2" fillId="7" fontId="4" numFmtId="0" xfId="0" applyAlignment="1" applyBorder="1" applyFill="1" applyFont="1">
      <alignment shrinkToFit="0" vertical="center" wrapText="1"/>
    </xf>
    <xf borderId="4" fillId="0" fontId="3" numFmtId="0" xfId="0" applyAlignment="1" applyBorder="1" applyFont="1">
      <alignment readingOrder="0"/>
    </xf>
    <xf borderId="2" fillId="7" fontId="4" numFmtId="0" xfId="0" applyAlignment="1" applyBorder="1" applyFill="1" applyFont="1">
      <alignment vertical="center"/>
    </xf>
    <xf borderId="5" fillId="6" fontId="8" numFmtId="0" xfId="0" applyAlignment="1" applyBorder="1" applyFill="1" applyFont="1">
      <alignment readingOrder="0"/>
    </xf>
    <xf borderId="1" fillId="3" fontId="9" numFmtId="0" xfId="0" applyAlignment="1" applyBorder="1" applyFill="1" applyFont="1">
      <alignment horizontal="center" shrinkToFit="0" vertical="center" wrapText="1"/>
    </xf>
    <xf borderId="2" fillId="0" fontId="3" numFmtId="0" xfId="0" applyAlignment="1" applyBorder="1" applyFont="1">
      <alignment readingOrder="0" shrinkToFit="0" vertical="center" wrapText="1"/>
    </xf>
    <xf borderId="1" fillId="4" fontId="9" numFmtId="0" xfId="0" applyAlignment="1" applyBorder="1" applyFill="1" applyFont="1">
      <alignment horizontal="center" shrinkToFit="0" vertical="center" wrapText="1"/>
    </xf>
    <xf borderId="1" fillId="0" fontId="3" numFmtId="0" xfId="0" applyAlignment="1" applyBorder="1" applyFont="1">
      <alignment shrinkToFit="0" vertical="top" wrapText="1"/>
    </xf>
    <xf borderId="1" fillId="0" fontId="3" numFmtId="0" xfId="0" applyAlignment="1" applyBorder="1" applyFont="1">
      <alignment readingOrder="0" shrinkToFit="0" vertical="top" wrapText="1"/>
    </xf>
    <xf borderId="2" fillId="0" fontId="10" numFmtId="0" xfId="0" applyAlignment="1" applyBorder="1" applyFont="1">
      <alignment readingOrder="0" shrinkToFit="0" wrapText="1"/>
    </xf>
    <xf borderId="1" fillId="5" fontId="4" numFmtId="0" xfId="0" applyAlignment="1" applyBorder="1" applyFill="1" applyFont="1">
      <alignment horizontal="left" vertical="center"/>
    </xf>
    <xf borderId="2" fillId="0" fontId="3" numFmtId="0" xfId="0" applyAlignment="1" applyBorder="1" applyFont="1">
      <alignment shrinkToFit="0" vertical="center" wrapText="1"/>
    </xf>
    <xf borderId="2" fillId="5" fontId="4" numFmtId="0" xfId="0" applyAlignment="1" applyBorder="1" applyFill="1" applyFont="1">
      <alignment horizontal="left" vertical="center"/>
    </xf>
    <xf borderId="1" fillId="0" fontId="3" numFmtId="0" xfId="0" applyAlignment="1" applyBorder="1" applyFont="1">
      <alignment horizontal="right" vertical="center"/>
    </xf>
    <xf borderId="0" fillId="0" fontId="11" numFmtId="0" xfId="0" applyAlignment="1" applyFont="1">
      <alignment shrinkToFit="0" vertical="top" wrapText="1"/>
    </xf>
    <xf borderId="2" fillId="0" fontId="3" numFmtId="0" xfId="0" applyAlignment="1" applyBorder="1" applyFont="1">
      <alignment readingOrder="0"/>
    </xf>
    <xf borderId="1" fillId="0" fontId="12" numFmtId="0" xfId="0" applyAlignment="1" applyBorder="1" applyFont="1">
      <alignment readingOrder="0"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838200" cy="114300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838200" cy="114300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838200" cy="114300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1" Type="http://schemas.openxmlformats.org/officeDocument/2006/relationships/hyperlink" Target="https://cloud.google.com/edu" TargetMode="External"/><Relationship Id="rId10" Type="http://schemas.openxmlformats.org/officeDocument/2006/relationships/hyperlink" Target="https://flutter.dev/" TargetMode="External"/><Relationship Id="rId13" Type="http://schemas.openxmlformats.org/officeDocument/2006/relationships/drawing" Target="../drawings/drawing1.xml"/><Relationship Id="rId12" Type="http://schemas.openxmlformats.org/officeDocument/2006/relationships/hyperlink" Target="https://cursor.sh/" TargetMode="External"/><Relationship Id="rId1" Type="http://schemas.openxmlformats.org/officeDocument/2006/relationships/hyperlink" Target="https://see.stanford.edu/course/cs106a" TargetMode="External"/><Relationship Id="rId2" Type="http://schemas.openxmlformats.org/officeDocument/2006/relationships/hyperlink" Target="https://csed.acm.org/wp-content/uploads/2023/09/SDF-Version-Gamma.pdf" TargetMode="External"/><Relationship Id="rId3" Type="http://schemas.openxmlformats.org/officeDocument/2006/relationships/hyperlink" Target="https://github.com/features/copilot" TargetMode="External"/><Relationship Id="rId4" Type="http://schemas.openxmlformats.org/officeDocument/2006/relationships/hyperlink" Target="https://code.visualstudio.com/" TargetMode="External"/><Relationship Id="rId9" Type="http://schemas.openxmlformats.org/officeDocument/2006/relationships/hyperlink" Target="https://spring.io/projects/spring-boot" TargetMode="External"/><Relationship Id="rId5" Type="http://schemas.openxmlformats.org/officeDocument/2006/relationships/hyperlink" Target="https://openjfx.io/" TargetMode="External"/><Relationship Id="rId6" Type="http://schemas.openxmlformats.org/officeDocument/2006/relationships/hyperlink" Target="https://www.docker.com/" TargetMode="External"/><Relationship Id="rId7" Type="http://schemas.openxmlformats.org/officeDocument/2006/relationships/hyperlink" Target="https://aws.amazon.com/training/awsacademy/" TargetMode="External"/><Relationship Id="rId8" Type="http://schemas.openxmlformats.org/officeDocument/2006/relationships/hyperlink" Target="https://www.terraform.io/"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0.0"/>
    <col customWidth="1" min="2" max="2" width="22.0"/>
    <col customWidth="1" min="3" max="6" width="16.0"/>
    <col customWidth="1" min="7" max="7" width="20.0"/>
    <col customWidth="1" min="8" max="8" width="28.0"/>
    <col customWidth="1" min="9" max="26" width="8.71"/>
  </cols>
  <sheetData>
    <row r="1" ht="19.5" customHeight="1"/>
    <row r="2">
      <c r="B2" s="1" t="s">
        <v>2</v>
      </c>
    </row>
    <row r="4">
      <c r="B4" s="3" t="s">
        <v>3</v>
      </c>
      <c r="C4" s="5" t="s">
        <v>4</v>
      </c>
      <c r="D4" s="6"/>
      <c r="E4" s="6"/>
      <c r="F4" s="6"/>
      <c r="G4" s="6"/>
      <c r="H4" s="8"/>
    </row>
    <row r="5">
      <c r="B5" s="3" t="s">
        <v>8</v>
      </c>
      <c r="C5" s="5" t="s">
        <v>9</v>
      </c>
      <c r="D5" s="6"/>
      <c r="E5" s="6"/>
      <c r="F5" s="6"/>
      <c r="G5" s="6"/>
      <c r="H5" s="8"/>
    </row>
    <row r="7">
      <c r="B7" s="10" t="s">
        <v>15</v>
      </c>
    </row>
    <row r="8">
      <c r="B8" s="11" t="s">
        <v>16</v>
      </c>
    </row>
    <row r="10">
      <c r="B10" s="3" t="s">
        <v>18</v>
      </c>
      <c r="C10" s="12" t="s">
        <v>19</v>
      </c>
      <c r="D10" s="13"/>
      <c r="E10" s="13"/>
      <c r="F10" s="13"/>
      <c r="G10" s="13"/>
      <c r="H10" s="15"/>
    </row>
    <row r="11">
      <c r="B11" s="3" t="s">
        <v>22</v>
      </c>
      <c r="C11" s="12" t="s">
        <v>23</v>
      </c>
      <c r="D11" s="13"/>
      <c r="E11" s="13"/>
      <c r="F11" s="13"/>
      <c r="G11" s="13"/>
      <c r="H11" s="15"/>
    </row>
    <row r="12">
      <c r="B12" s="3" t="s">
        <v>24</v>
      </c>
      <c r="C12" s="17" t="s">
        <v>25</v>
      </c>
      <c r="D12" s="13"/>
      <c r="E12" s="13"/>
      <c r="F12" s="13"/>
      <c r="G12" s="13"/>
      <c r="H12" s="15"/>
    </row>
    <row r="13">
      <c r="B13" s="3" t="s">
        <v>27</v>
      </c>
      <c r="C13" s="23" t="s">
        <v>28</v>
      </c>
      <c r="D13" s="6"/>
      <c r="E13" s="6"/>
      <c r="F13" s="6"/>
      <c r="G13" s="6"/>
      <c r="H13" s="8"/>
    </row>
    <row r="15">
      <c r="B15" s="24" t="s">
        <v>42</v>
      </c>
      <c r="C15" s="26" t="s">
        <v>43</v>
      </c>
      <c r="D15" s="6"/>
      <c r="E15" s="6"/>
      <c r="F15" s="6"/>
      <c r="G15" s="6"/>
      <c r="H15" s="8"/>
    </row>
    <row r="16">
      <c r="B16" s="27">
        <v>1.0</v>
      </c>
      <c r="C16" s="19" t="s">
        <v>48</v>
      </c>
      <c r="D16" s="6"/>
      <c r="E16" s="6"/>
      <c r="F16" s="6"/>
      <c r="G16" s="6"/>
      <c r="H16" s="8"/>
    </row>
    <row r="17">
      <c r="B17" s="27">
        <v>2.0</v>
      </c>
      <c r="C17" s="19" t="s">
        <v>50</v>
      </c>
      <c r="D17" s="6"/>
      <c r="E17" s="6"/>
      <c r="F17" s="6"/>
      <c r="G17" s="6"/>
      <c r="H17" s="8"/>
    </row>
    <row r="18">
      <c r="B18" s="27">
        <v>3.0</v>
      </c>
      <c r="C18" s="19" t="s">
        <v>40</v>
      </c>
      <c r="D18" s="6"/>
      <c r="E18" s="6"/>
      <c r="F18" s="6"/>
      <c r="G18" s="6"/>
      <c r="H18" s="8"/>
    </row>
    <row r="19">
      <c r="B19" s="27">
        <v>4.0</v>
      </c>
      <c r="C19" s="19" t="s">
        <v>57</v>
      </c>
      <c r="D19" s="6"/>
      <c r="E19" s="6"/>
      <c r="F19" s="6"/>
      <c r="G19" s="6"/>
      <c r="H19" s="8"/>
    </row>
    <row r="20">
      <c r="B20" s="27">
        <v>5.0</v>
      </c>
      <c r="C20" s="19" t="s">
        <v>61</v>
      </c>
      <c r="D20" s="6"/>
      <c r="E20" s="6"/>
      <c r="F20" s="6"/>
      <c r="G20" s="6"/>
      <c r="H20" s="8"/>
    </row>
    <row r="21" ht="15.75" customHeight="1">
      <c r="B21" s="27">
        <v>6.0</v>
      </c>
      <c r="C21" s="19" t="s">
        <v>66</v>
      </c>
      <c r="D21" s="6"/>
      <c r="E21" s="6"/>
      <c r="F21" s="6"/>
      <c r="G21" s="6"/>
      <c r="H21" s="8"/>
    </row>
    <row r="22" ht="15.75" customHeight="1">
      <c r="B22" s="27">
        <v>7.0</v>
      </c>
      <c r="C22" s="19" t="s">
        <v>69</v>
      </c>
      <c r="D22" s="6"/>
      <c r="E22" s="6"/>
      <c r="F22" s="6"/>
      <c r="G22" s="6"/>
      <c r="H22" s="8"/>
    </row>
    <row r="23" ht="15.75" customHeight="1">
      <c r="B23" s="27">
        <v>8.0</v>
      </c>
      <c r="C23" s="19" t="s">
        <v>54</v>
      </c>
      <c r="D23" s="6"/>
      <c r="E23" s="6"/>
      <c r="F23" s="6"/>
      <c r="G23" s="6"/>
      <c r="H23" s="8"/>
    </row>
    <row r="24" ht="15.75" customHeight="1">
      <c r="B24" s="27">
        <v>9.0</v>
      </c>
      <c r="C24" s="19" t="s">
        <v>74</v>
      </c>
      <c r="D24" s="6"/>
      <c r="E24" s="6"/>
      <c r="F24" s="6"/>
      <c r="G24" s="6"/>
      <c r="H24" s="8"/>
    </row>
    <row r="25" ht="15.75" customHeight="1">
      <c r="B25" s="27">
        <v>10.0</v>
      </c>
      <c r="C25" s="19" t="s">
        <v>77</v>
      </c>
      <c r="D25" s="6"/>
      <c r="E25" s="6"/>
      <c r="F25" s="6"/>
      <c r="G25" s="6"/>
      <c r="H25" s="8"/>
    </row>
    <row r="26" ht="15.75" customHeight="1"/>
    <row r="27" ht="15.75" customHeight="1">
      <c r="B27" s="10" t="s">
        <v>81</v>
      </c>
    </row>
    <row r="28" ht="15.75" customHeight="1">
      <c r="B28" s="11" t="s">
        <v>82</v>
      </c>
    </row>
    <row r="29" ht="15.75" customHeight="1"/>
    <row r="30" ht="15.75" customHeight="1">
      <c r="B30" s="3" t="s">
        <v>84</v>
      </c>
      <c r="C30" s="29" t="s">
        <v>87</v>
      </c>
      <c r="D30" s="6"/>
      <c r="E30" s="6"/>
      <c r="F30" s="6"/>
      <c r="G30" s="6"/>
      <c r="H30" s="8"/>
    </row>
    <row r="31" ht="15.75" customHeight="1">
      <c r="B31" s="3" t="s">
        <v>92</v>
      </c>
      <c r="C31" s="29" t="s">
        <v>94</v>
      </c>
      <c r="D31" s="6"/>
      <c r="E31" s="6"/>
      <c r="F31" s="6"/>
      <c r="G31" s="6"/>
      <c r="H31" s="8"/>
    </row>
    <row r="32" ht="15.75" customHeight="1">
      <c r="B32" s="3" t="s">
        <v>27</v>
      </c>
      <c r="C32" s="23" t="s">
        <v>101</v>
      </c>
      <c r="D32" s="6"/>
      <c r="E32" s="6"/>
      <c r="F32" s="6"/>
      <c r="G32" s="6"/>
      <c r="H32" s="8"/>
    </row>
    <row r="33" ht="15.75" customHeight="1"/>
    <row r="34" ht="15.75" customHeight="1">
      <c r="B34" s="24" t="s">
        <v>42</v>
      </c>
      <c r="C34" s="26" t="s">
        <v>122</v>
      </c>
      <c r="D34" s="6"/>
      <c r="E34" s="6"/>
      <c r="F34" s="6"/>
      <c r="G34" s="6"/>
      <c r="H34" s="8"/>
    </row>
    <row r="35" ht="15.75" customHeight="1">
      <c r="B35" s="27">
        <v>1.0</v>
      </c>
      <c r="C35" s="19" t="s">
        <v>44</v>
      </c>
      <c r="D35" s="6"/>
      <c r="E35" s="6"/>
      <c r="F35" s="6"/>
      <c r="G35" s="6"/>
      <c r="H35" s="8"/>
    </row>
    <row r="36" ht="15.75" customHeight="1">
      <c r="B36" s="27">
        <v>2.0</v>
      </c>
      <c r="C36" s="19" t="s">
        <v>114</v>
      </c>
      <c r="D36" s="6"/>
      <c r="E36" s="6"/>
      <c r="F36" s="6"/>
      <c r="G36" s="6"/>
      <c r="H36" s="8"/>
    </row>
    <row r="37" ht="15.75" customHeight="1">
      <c r="B37" s="27">
        <v>3.0</v>
      </c>
      <c r="C37" s="19" t="s">
        <v>55</v>
      </c>
      <c r="D37" s="6"/>
      <c r="E37" s="6"/>
      <c r="F37" s="6"/>
      <c r="G37" s="6"/>
      <c r="H37" s="8"/>
    </row>
    <row r="38" ht="15.75" customHeight="1">
      <c r="B38" s="27">
        <v>4.0</v>
      </c>
      <c r="C38" s="19" t="s">
        <v>133</v>
      </c>
      <c r="D38" s="6"/>
      <c r="E38" s="6"/>
      <c r="F38" s="6"/>
      <c r="G38" s="6"/>
      <c r="H38" s="8"/>
    </row>
    <row r="39" ht="15.75" customHeight="1">
      <c r="B39" s="27">
        <v>5.0</v>
      </c>
      <c r="C39" s="19" t="s">
        <v>137</v>
      </c>
      <c r="D39" s="6"/>
      <c r="E39" s="6"/>
      <c r="F39" s="6"/>
      <c r="G39" s="6"/>
      <c r="H39" s="8"/>
    </row>
    <row r="40" ht="15.75" customHeight="1">
      <c r="B40" s="27">
        <v>6.0</v>
      </c>
      <c r="C40" s="19" t="s">
        <v>139</v>
      </c>
      <c r="D40" s="6"/>
      <c r="E40" s="6"/>
      <c r="F40" s="6"/>
      <c r="G40" s="6"/>
      <c r="H40" s="8"/>
    </row>
    <row r="41" ht="15.75" customHeight="1">
      <c r="B41" s="27">
        <v>7.0</v>
      </c>
      <c r="C41" s="19" t="s">
        <v>142</v>
      </c>
      <c r="D41" s="6"/>
      <c r="E41" s="6"/>
      <c r="F41" s="6"/>
      <c r="G41" s="6"/>
      <c r="H41" s="8"/>
    </row>
    <row r="42" ht="15.75" customHeight="1">
      <c r="B42" s="27">
        <v>8.0</v>
      </c>
      <c r="C42" s="19" t="s">
        <v>146</v>
      </c>
      <c r="D42" s="6"/>
      <c r="E42" s="6"/>
      <c r="F42" s="6"/>
      <c r="G42" s="6"/>
      <c r="H42" s="8"/>
    </row>
    <row r="43" ht="15.75" customHeight="1">
      <c r="B43" s="27">
        <v>9.0</v>
      </c>
      <c r="C43" s="19" t="s">
        <v>149</v>
      </c>
      <c r="D43" s="6"/>
      <c r="E43" s="6"/>
      <c r="F43" s="6"/>
      <c r="G43" s="6"/>
      <c r="H43" s="8"/>
    </row>
    <row r="44" ht="15.75" customHeight="1">
      <c r="B44" s="27">
        <v>10.0</v>
      </c>
      <c r="C44" s="19" t="s">
        <v>151</v>
      </c>
      <c r="D44" s="6"/>
      <c r="E44" s="6"/>
      <c r="F44" s="6"/>
      <c r="G44" s="6"/>
      <c r="H44" s="8"/>
    </row>
    <row r="45" ht="15.75" customHeight="1"/>
    <row r="46" ht="15.75" customHeight="1">
      <c r="A46" s="10" t="s">
        <v>156</v>
      </c>
    </row>
    <row r="47" ht="15.75" customHeight="1">
      <c r="A47" s="11" t="s">
        <v>157</v>
      </c>
    </row>
    <row r="48" ht="15.75" customHeight="1">
      <c r="B48" s="24" t="s">
        <v>42</v>
      </c>
      <c r="C48" s="26" t="s">
        <v>3</v>
      </c>
      <c r="D48" s="6"/>
      <c r="E48" s="6"/>
      <c r="F48" s="6"/>
      <c r="G48" s="8"/>
      <c r="H48" s="24" t="s">
        <v>161</v>
      </c>
    </row>
    <row r="49" ht="15.75" customHeight="1">
      <c r="B49" s="27">
        <v>1.0</v>
      </c>
      <c r="C49" s="19" t="s">
        <v>29</v>
      </c>
      <c r="D49" s="6"/>
      <c r="E49" s="6"/>
      <c r="F49" s="6"/>
      <c r="G49" s="8"/>
      <c r="H49" s="30" t="s">
        <v>163</v>
      </c>
    </row>
    <row r="50" ht="15.75" customHeight="1">
      <c r="B50" s="27">
        <v>2.0</v>
      </c>
      <c r="C50" s="19" t="s">
        <v>41</v>
      </c>
      <c r="D50" s="6"/>
      <c r="E50" s="6"/>
      <c r="F50" s="6"/>
      <c r="G50" s="8"/>
      <c r="H50" s="30" t="s">
        <v>173</v>
      </c>
    </row>
    <row r="51" ht="15.75" customHeight="1">
      <c r="B51" s="27">
        <v>3.0</v>
      </c>
      <c r="C51" s="19" t="s">
        <v>181</v>
      </c>
      <c r="D51" s="6"/>
      <c r="E51" s="6"/>
      <c r="F51" s="6"/>
      <c r="G51" s="8"/>
      <c r="H51" s="30" t="s">
        <v>183</v>
      </c>
    </row>
    <row r="52" ht="15.75" customHeight="1">
      <c r="B52" s="27">
        <v>4.0</v>
      </c>
      <c r="C52" s="19" t="s">
        <v>186</v>
      </c>
      <c r="D52" s="6"/>
      <c r="E52" s="6"/>
      <c r="F52" s="6"/>
      <c r="G52" s="8"/>
      <c r="H52" s="30" t="s">
        <v>188</v>
      </c>
    </row>
    <row r="53" ht="15.75" customHeight="1">
      <c r="B53" s="27">
        <v>5.0</v>
      </c>
      <c r="C53" s="19" t="s">
        <v>35</v>
      </c>
      <c r="D53" s="6"/>
      <c r="E53" s="6"/>
      <c r="F53" s="6"/>
      <c r="G53" s="8"/>
      <c r="H53" s="30" t="s">
        <v>190</v>
      </c>
    </row>
    <row r="54" ht="15.75" customHeight="1">
      <c r="B54" s="27">
        <v>6.0</v>
      </c>
      <c r="C54" s="19" t="s">
        <v>191</v>
      </c>
      <c r="D54" s="6"/>
      <c r="E54" s="6"/>
      <c r="F54" s="6"/>
      <c r="G54" s="8"/>
      <c r="H54" s="30" t="s">
        <v>192</v>
      </c>
    </row>
    <row r="55" ht="15.75" customHeight="1">
      <c r="B55" s="27">
        <v>7.0</v>
      </c>
      <c r="C55" s="19" t="s">
        <v>38</v>
      </c>
      <c r="D55" s="6"/>
      <c r="E55" s="6"/>
      <c r="F55" s="6"/>
      <c r="G55" s="8"/>
      <c r="H55" s="30" t="s">
        <v>193</v>
      </c>
    </row>
    <row r="56" ht="15.75" customHeight="1">
      <c r="B56" s="27">
        <v>8.0</v>
      </c>
      <c r="C56" s="19" t="s">
        <v>194</v>
      </c>
      <c r="D56" s="6"/>
      <c r="E56" s="6"/>
      <c r="F56" s="6"/>
      <c r="G56" s="8"/>
      <c r="H56" s="30" t="s">
        <v>195</v>
      </c>
    </row>
    <row r="57" ht="15.75" customHeight="1">
      <c r="B57" s="27">
        <v>9.0</v>
      </c>
      <c r="C57" s="19" t="s">
        <v>196</v>
      </c>
      <c r="D57" s="6"/>
      <c r="E57" s="6"/>
      <c r="F57" s="6"/>
      <c r="G57" s="8"/>
      <c r="H57" s="30" t="s">
        <v>197</v>
      </c>
    </row>
    <row r="58" ht="15.75" customHeight="1">
      <c r="B58" s="27">
        <v>10.0</v>
      </c>
      <c r="C58" s="19" t="s">
        <v>198</v>
      </c>
      <c r="D58" s="6"/>
      <c r="E58" s="6"/>
      <c r="F58" s="6"/>
      <c r="G58" s="8"/>
      <c r="H58" s="30" t="s">
        <v>199</v>
      </c>
    </row>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42">
    <mergeCell ref="C4:H4"/>
    <mergeCell ref="C5:H5"/>
    <mergeCell ref="B8:H8"/>
    <mergeCell ref="C13:H13"/>
    <mergeCell ref="C15:H15"/>
    <mergeCell ref="C16:H16"/>
    <mergeCell ref="C17:H17"/>
    <mergeCell ref="C18:H18"/>
    <mergeCell ref="C19:H19"/>
    <mergeCell ref="C20:H20"/>
    <mergeCell ref="C21:H21"/>
    <mergeCell ref="C22:H22"/>
    <mergeCell ref="C23:H23"/>
    <mergeCell ref="C24:H24"/>
    <mergeCell ref="C25:H25"/>
    <mergeCell ref="B28:H28"/>
    <mergeCell ref="C30:H30"/>
    <mergeCell ref="C31:H31"/>
    <mergeCell ref="C32:H32"/>
    <mergeCell ref="C34:H34"/>
    <mergeCell ref="C35:H35"/>
    <mergeCell ref="C36:H36"/>
    <mergeCell ref="C37:H37"/>
    <mergeCell ref="C38:H38"/>
    <mergeCell ref="C39:H39"/>
    <mergeCell ref="C40:H40"/>
    <mergeCell ref="C41:H41"/>
    <mergeCell ref="C42:H42"/>
    <mergeCell ref="C52:G52"/>
    <mergeCell ref="C53:G53"/>
    <mergeCell ref="C54:G54"/>
    <mergeCell ref="C55:G55"/>
    <mergeCell ref="C56:G56"/>
    <mergeCell ref="C57:G57"/>
    <mergeCell ref="C58:G58"/>
    <mergeCell ref="C43:H43"/>
    <mergeCell ref="C44:H44"/>
    <mergeCell ref="A47:H47"/>
    <mergeCell ref="C48:G48"/>
    <mergeCell ref="C49:G49"/>
    <mergeCell ref="C50:G50"/>
    <mergeCell ref="C51:G51"/>
  </mergeCells>
  <hyperlinks>
    <hyperlink r:id="rId1" ref="C13"/>
    <hyperlink r:id="rId2" ref="C32"/>
    <hyperlink r:id="rId3" ref="H49"/>
    <hyperlink r:id="rId4" ref="H50"/>
    <hyperlink r:id="rId5" ref="H51"/>
    <hyperlink r:id="rId6" ref="H52"/>
    <hyperlink r:id="rId7" ref="H53"/>
    <hyperlink r:id="rId8" ref="H54"/>
    <hyperlink r:id="rId9" ref="H55"/>
    <hyperlink r:id="rId10" ref="H56"/>
    <hyperlink r:id="rId11" ref="H57"/>
    <hyperlink r:id="rId12" ref="H58"/>
  </hyperlinks>
  <printOptions/>
  <pageMargins bottom="0.75" footer="0.0" header="0.0" left="0.7" right="0.7" top="0.75"/>
  <pageSetup orientation="portrait"/>
  <drawing r:id="rId1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3" width="25.0"/>
    <col customWidth="1" min="4" max="4" width="30.0"/>
    <col customWidth="1" min="5" max="5" width="15.0"/>
    <col customWidth="1" min="6" max="6" width="10.0"/>
    <col customWidth="1" min="7" max="7" width="60.0"/>
    <col customWidth="1" min="8" max="9" width="32.0"/>
    <col customWidth="1" min="10" max="26" width="8.71"/>
  </cols>
  <sheetData>
    <row r="1" ht="19.5" customHeight="1">
      <c r="B1" s="2" t="s">
        <v>1</v>
      </c>
    </row>
    <row r="2" ht="24.75" customHeight="1">
      <c r="H2" s="4" t="s">
        <v>5</v>
      </c>
      <c r="I2" s="7" t="s">
        <v>6</v>
      </c>
    </row>
    <row r="3" ht="45.0" customHeight="1">
      <c r="B3" s="9" t="s">
        <v>7</v>
      </c>
      <c r="C3" s="9" t="s">
        <v>10</v>
      </c>
      <c r="D3" s="9" t="s">
        <v>11</v>
      </c>
      <c r="E3" s="9" t="s">
        <v>12</v>
      </c>
      <c r="F3" s="9" t="s">
        <v>13</v>
      </c>
      <c r="G3" s="9" t="s">
        <v>14</v>
      </c>
      <c r="H3" s="18" t="str">
        <f>IF('Referentes Internacionales'!C10="","Universidad (sin nombre)",'Referentes Internacionales'!C10)</f>
        <v>Stanford University</v>
      </c>
      <c r="I3" s="20" t="str">
        <f>IF('Referentes Internacionales'!C30="","Estándar (sin nombre)",'Referentes Internacionales'!C30)</f>
        <v>ACM/IEEE CS2023 - Software Development Fundamentals (SDF) </v>
      </c>
    </row>
    <row r="4">
      <c r="B4" s="21" t="s">
        <v>30</v>
      </c>
      <c r="C4" s="21" t="s">
        <v>31</v>
      </c>
      <c r="D4" s="21" t="s">
        <v>32</v>
      </c>
      <c r="E4" s="22" t="s">
        <v>34</v>
      </c>
      <c r="F4" s="21">
        <v>2.0</v>
      </c>
      <c r="G4" s="21" t="s">
        <v>36</v>
      </c>
      <c r="H4" s="22" t="s">
        <v>40</v>
      </c>
      <c r="I4" s="22" t="s">
        <v>44</v>
      </c>
    </row>
    <row r="5">
      <c r="B5" s="21" t="s">
        <v>30</v>
      </c>
      <c r="C5" s="21" t="s">
        <v>31</v>
      </c>
      <c r="D5" s="21" t="s">
        <v>45</v>
      </c>
      <c r="E5" s="22" t="s">
        <v>34</v>
      </c>
      <c r="F5" s="21">
        <v>2.0</v>
      </c>
      <c r="G5" s="21" t="s">
        <v>36</v>
      </c>
      <c r="H5" s="22" t="s">
        <v>40</v>
      </c>
      <c r="I5" s="22" t="s">
        <v>44</v>
      </c>
    </row>
    <row r="6">
      <c r="B6" s="21" t="s">
        <v>30</v>
      </c>
      <c r="C6" s="21" t="s">
        <v>31</v>
      </c>
      <c r="D6" s="21" t="s">
        <v>46</v>
      </c>
      <c r="E6" s="22" t="s">
        <v>47</v>
      </c>
      <c r="F6" s="21">
        <v>3.0</v>
      </c>
      <c r="G6" s="21" t="s">
        <v>36</v>
      </c>
      <c r="H6" s="22" t="s">
        <v>40</v>
      </c>
      <c r="I6" s="22" t="s">
        <v>44</v>
      </c>
    </row>
    <row r="7">
      <c r="B7" s="21" t="s">
        <v>49</v>
      </c>
      <c r="C7" s="21" t="s">
        <v>51</v>
      </c>
      <c r="D7" s="21" t="s">
        <v>52</v>
      </c>
      <c r="E7" s="22" t="s">
        <v>47</v>
      </c>
      <c r="F7" s="21">
        <v>3.0</v>
      </c>
      <c r="G7" s="21" t="s">
        <v>53</v>
      </c>
      <c r="H7" s="22" t="s">
        <v>54</v>
      </c>
      <c r="I7" s="22" t="s">
        <v>55</v>
      </c>
    </row>
    <row r="8">
      <c r="B8" s="21" t="s">
        <v>49</v>
      </c>
      <c r="C8" s="21" t="s">
        <v>51</v>
      </c>
      <c r="D8" s="21" t="s">
        <v>56</v>
      </c>
      <c r="E8" s="22" t="s">
        <v>47</v>
      </c>
      <c r="F8" s="21">
        <v>3.0</v>
      </c>
      <c r="G8" s="21" t="s">
        <v>53</v>
      </c>
      <c r="H8" s="22" t="s">
        <v>54</v>
      </c>
      <c r="I8" s="22" t="s">
        <v>55</v>
      </c>
    </row>
    <row r="9">
      <c r="B9" s="21" t="s">
        <v>49</v>
      </c>
      <c r="C9" s="21" t="s">
        <v>51</v>
      </c>
      <c r="D9" s="21" t="s">
        <v>58</v>
      </c>
      <c r="E9" s="22" t="s">
        <v>47</v>
      </c>
      <c r="F9" s="21">
        <v>3.0</v>
      </c>
      <c r="G9" s="21" t="s">
        <v>53</v>
      </c>
      <c r="H9" s="22" t="s">
        <v>54</v>
      </c>
      <c r="I9" s="22" t="s">
        <v>55</v>
      </c>
    </row>
    <row r="10">
      <c r="B10" s="21" t="s">
        <v>49</v>
      </c>
      <c r="C10" s="21" t="s">
        <v>51</v>
      </c>
      <c r="D10" s="21" t="s">
        <v>60</v>
      </c>
      <c r="E10" s="22" t="s">
        <v>47</v>
      </c>
      <c r="F10" s="21">
        <v>3.0</v>
      </c>
      <c r="G10" s="21" t="s">
        <v>53</v>
      </c>
      <c r="H10" s="22" t="s">
        <v>54</v>
      </c>
      <c r="I10" s="22" t="s">
        <v>55</v>
      </c>
    </row>
    <row r="11">
      <c r="B11" s="21" t="s">
        <v>62</v>
      </c>
      <c r="C11" s="21" t="s">
        <v>63</v>
      </c>
      <c r="D11" s="21" t="s">
        <v>64</v>
      </c>
      <c r="E11" s="22" t="s">
        <v>47</v>
      </c>
      <c r="F11" s="21">
        <v>4.0</v>
      </c>
      <c r="G11" s="21" t="s">
        <v>65</v>
      </c>
      <c r="H11" s="22" t="s">
        <v>48</v>
      </c>
      <c r="I11" s="22" t="s">
        <v>44</v>
      </c>
    </row>
    <row r="12">
      <c r="B12" s="21" t="s">
        <v>62</v>
      </c>
      <c r="C12" s="21" t="s">
        <v>67</v>
      </c>
      <c r="D12" s="21" t="s">
        <v>68</v>
      </c>
      <c r="E12" s="22" t="s">
        <v>47</v>
      </c>
      <c r="F12" s="21">
        <v>4.0</v>
      </c>
      <c r="G12" s="21" t="s">
        <v>65</v>
      </c>
      <c r="H12" s="22" t="s">
        <v>48</v>
      </c>
      <c r="I12" s="22" t="s">
        <v>44</v>
      </c>
    </row>
    <row r="13">
      <c r="B13" s="21" t="s">
        <v>62</v>
      </c>
      <c r="C13" s="21" t="s">
        <v>67</v>
      </c>
      <c r="D13" s="21" t="s">
        <v>70</v>
      </c>
      <c r="E13" s="22" t="s">
        <v>47</v>
      </c>
      <c r="F13" s="21">
        <v>4.0</v>
      </c>
      <c r="G13" s="21" t="s">
        <v>36</v>
      </c>
      <c r="H13" s="22" t="s">
        <v>48</v>
      </c>
      <c r="I13" s="22" t="s">
        <v>44</v>
      </c>
    </row>
    <row r="14">
      <c r="B14" s="21" t="s">
        <v>62</v>
      </c>
      <c r="C14" s="21" t="s">
        <v>71</v>
      </c>
      <c r="D14" s="21" t="s">
        <v>72</v>
      </c>
      <c r="E14" s="22" t="s">
        <v>47</v>
      </c>
      <c r="F14" s="21">
        <v>4.0</v>
      </c>
      <c r="G14" s="21" t="s">
        <v>65</v>
      </c>
      <c r="H14" s="22" t="s">
        <v>48</v>
      </c>
      <c r="I14" s="22" t="s">
        <v>44</v>
      </c>
    </row>
    <row r="15">
      <c r="B15" s="21" t="s">
        <v>62</v>
      </c>
      <c r="C15" s="21" t="s">
        <v>71</v>
      </c>
      <c r="D15" s="21" t="s">
        <v>73</v>
      </c>
      <c r="E15" s="22" t="s">
        <v>47</v>
      </c>
      <c r="F15" s="21">
        <v>4.0</v>
      </c>
      <c r="G15" s="21" t="s">
        <v>36</v>
      </c>
      <c r="H15" s="22" t="s">
        <v>48</v>
      </c>
      <c r="I15" s="22" t="s">
        <v>44</v>
      </c>
    </row>
    <row r="16">
      <c r="B16" s="21" t="s">
        <v>62</v>
      </c>
      <c r="C16" s="21" t="s">
        <v>75</v>
      </c>
      <c r="D16" s="21" t="s">
        <v>76</v>
      </c>
      <c r="E16" s="22" t="s">
        <v>47</v>
      </c>
      <c r="F16" s="21">
        <v>4.0</v>
      </c>
      <c r="G16" s="21" t="s">
        <v>65</v>
      </c>
      <c r="H16" s="22" t="s">
        <v>48</v>
      </c>
      <c r="I16" s="22" t="s">
        <v>44</v>
      </c>
    </row>
    <row r="17">
      <c r="B17" s="21" t="s">
        <v>62</v>
      </c>
      <c r="C17" s="21" t="s">
        <v>75</v>
      </c>
      <c r="D17" s="21" t="s">
        <v>78</v>
      </c>
      <c r="E17" s="22" t="s">
        <v>47</v>
      </c>
      <c r="F17" s="21">
        <v>5.0</v>
      </c>
      <c r="G17" s="21" t="s">
        <v>36</v>
      </c>
      <c r="H17" s="22" t="s">
        <v>48</v>
      </c>
      <c r="I17" s="22" t="s">
        <v>44</v>
      </c>
    </row>
    <row r="18">
      <c r="B18" s="21" t="s">
        <v>62</v>
      </c>
      <c r="C18" s="21" t="s">
        <v>79</v>
      </c>
      <c r="D18" s="21" t="s">
        <v>80</v>
      </c>
      <c r="E18" s="22" t="s">
        <v>47</v>
      </c>
      <c r="F18" s="21">
        <v>4.0</v>
      </c>
      <c r="G18" s="21" t="s">
        <v>36</v>
      </c>
      <c r="H18" s="22" t="s">
        <v>48</v>
      </c>
      <c r="I18" s="22" t="s">
        <v>44</v>
      </c>
    </row>
    <row r="19">
      <c r="B19" s="21" t="s">
        <v>62</v>
      </c>
      <c r="C19" s="21" t="s">
        <v>79</v>
      </c>
      <c r="D19" s="21" t="s">
        <v>83</v>
      </c>
      <c r="E19" s="22" t="s">
        <v>47</v>
      </c>
      <c r="F19" s="21">
        <v>5.0</v>
      </c>
      <c r="G19" s="21" t="s">
        <v>36</v>
      </c>
      <c r="H19" s="22" t="s">
        <v>48</v>
      </c>
      <c r="I19" s="22" t="s">
        <v>44</v>
      </c>
    </row>
    <row r="20">
      <c r="B20" s="21" t="s">
        <v>62</v>
      </c>
      <c r="C20" s="21" t="s">
        <v>85</v>
      </c>
      <c r="D20" s="21" t="s">
        <v>86</v>
      </c>
      <c r="E20" s="22" t="s">
        <v>47</v>
      </c>
      <c r="F20" s="21">
        <v>4.0</v>
      </c>
      <c r="G20" s="21" t="s">
        <v>36</v>
      </c>
      <c r="H20" s="22" t="s">
        <v>48</v>
      </c>
      <c r="I20" s="22" t="s">
        <v>44</v>
      </c>
    </row>
    <row r="21" ht="15.75" customHeight="1">
      <c r="B21" s="21" t="s">
        <v>62</v>
      </c>
      <c r="C21" s="21" t="s">
        <v>85</v>
      </c>
      <c r="D21" s="21" t="s">
        <v>88</v>
      </c>
      <c r="E21" s="22" t="s">
        <v>47</v>
      </c>
      <c r="F21" s="21">
        <v>5.0</v>
      </c>
      <c r="G21" s="21" t="s">
        <v>89</v>
      </c>
      <c r="H21" s="22" t="s">
        <v>48</v>
      </c>
      <c r="I21" s="22" t="s">
        <v>44</v>
      </c>
    </row>
    <row r="22" ht="15.75" customHeight="1">
      <c r="B22" s="21" t="s">
        <v>62</v>
      </c>
      <c r="C22" s="21" t="s">
        <v>90</v>
      </c>
      <c r="D22" s="21" t="s">
        <v>91</v>
      </c>
      <c r="E22" s="22" t="s">
        <v>47</v>
      </c>
      <c r="F22" s="21">
        <v>4.0</v>
      </c>
      <c r="G22" s="21" t="s">
        <v>36</v>
      </c>
      <c r="H22" s="22" t="s">
        <v>48</v>
      </c>
      <c r="I22" s="22" t="s">
        <v>44</v>
      </c>
    </row>
    <row r="23" ht="15.75" customHeight="1">
      <c r="B23" s="21" t="s">
        <v>62</v>
      </c>
      <c r="C23" s="21" t="s">
        <v>90</v>
      </c>
      <c r="D23" s="21" t="s">
        <v>93</v>
      </c>
      <c r="E23" s="22" t="s">
        <v>47</v>
      </c>
      <c r="F23" s="21">
        <v>5.0</v>
      </c>
      <c r="G23" s="21" t="s">
        <v>36</v>
      </c>
      <c r="H23" s="22" t="s">
        <v>48</v>
      </c>
      <c r="I23" s="22" t="s">
        <v>44</v>
      </c>
    </row>
    <row r="24" ht="15.75" customHeight="1">
      <c r="B24" s="21" t="s">
        <v>62</v>
      </c>
      <c r="C24" s="21" t="s">
        <v>95</v>
      </c>
      <c r="D24" s="21" t="s">
        <v>96</v>
      </c>
      <c r="E24" s="22" t="s">
        <v>47</v>
      </c>
      <c r="F24" s="21">
        <v>5.0</v>
      </c>
      <c r="G24" s="21" t="s">
        <v>89</v>
      </c>
      <c r="H24" s="22" t="s">
        <v>48</v>
      </c>
      <c r="I24" s="22" t="s">
        <v>44</v>
      </c>
    </row>
    <row r="25" ht="15.75" customHeight="1">
      <c r="B25" s="21" t="s">
        <v>97</v>
      </c>
      <c r="C25" s="21" t="s">
        <v>98</v>
      </c>
      <c r="D25" s="21" t="s">
        <v>99</v>
      </c>
      <c r="E25" s="22" t="s">
        <v>47</v>
      </c>
      <c r="F25" s="21">
        <v>5.0</v>
      </c>
      <c r="G25" s="21" t="s">
        <v>36</v>
      </c>
      <c r="H25" s="22" t="s">
        <v>48</v>
      </c>
      <c r="I25" s="22" t="s">
        <v>44</v>
      </c>
    </row>
    <row r="26" ht="15.75" customHeight="1">
      <c r="B26" s="21" t="s">
        <v>97</v>
      </c>
      <c r="C26" s="21" t="s">
        <v>98</v>
      </c>
      <c r="D26" s="21" t="s">
        <v>100</v>
      </c>
      <c r="E26" s="22" t="s">
        <v>47</v>
      </c>
      <c r="F26" s="21">
        <v>5.0</v>
      </c>
      <c r="G26" s="21" t="s">
        <v>36</v>
      </c>
      <c r="H26" s="22" t="s">
        <v>48</v>
      </c>
      <c r="I26" s="22" t="s">
        <v>44</v>
      </c>
    </row>
    <row r="27" ht="15.75" customHeight="1">
      <c r="B27" s="21" t="s">
        <v>97</v>
      </c>
      <c r="C27" s="21" t="s">
        <v>98</v>
      </c>
      <c r="D27" s="21" t="s">
        <v>102</v>
      </c>
      <c r="E27" s="22" t="s">
        <v>47</v>
      </c>
      <c r="F27" s="21">
        <v>6.0</v>
      </c>
      <c r="G27" s="21" t="s">
        <v>36</v>
      </c>
      <c r="H27" s="22" t="s">
        <v>48</v>
      </c>
      <c r="I27" s="22" t="s">
        <v>44</v>
      </c>
    </row>
    <row r="28" ht="15.75" customHeight="1">
      <c r="B28" s="21" t="s">
        <v>103</v>
      </c>
      <c r="C28" s="21" t="s">
        <v>104</v>
      </c>
      <c r="D28" s="21" t="s">
        <v>105</v>
      </c>
      <c r="E28" s="21" t="s">
        <v>106</v>
      </c>
      <c r="F28" s="21">
        <v>6.0</v>
      </c>
      <c r="G28" s="21" t="s">
        <v>36</v>
      </c>
      <c r="H28" s="22" t="s">
        <v>50</v>
      </c>
      <c r="I28" s="22" t="s">
        <v>44</v>
      </c>
    </row>
    <row r="29" ht="15.75" customHeight="1">
      <c r="B29" s="21" t="s">
        <v>103</v>
      </c>
      <c r="C29" s="21" t="s">
        <v>104</v>
      </c>
      <c r="D29" s="21" t="s">
        <v>107</v>
      </c>
      <c r="E29" s="22" t="s">
        <v>47</v>
      </c>
      <c r="F29" s="21">
        <v>6.0</v>
      </c>
      <c r="G29" s="21" t="s">
        <v>36</v>
      </c>
      <c r="H29" s="22" t="s">
        <v>50</v>
      </c>
      <c r="I29" s="22" t="s">
        <v>44</v>
      </c>
    </row>
    <row r="30" ht="15.75" customHeight="1">
      <c r="B30" s="21" t="s">
        <v>103</v>
      </c>
      <c r="C30" s="21" t="s">
        <v>104</v>
      </c>
      <c r="D30" s="21" t="s">
        <v>108</v>
      </c>
      <c r="E30" s="22" t="s">
        <v>109</v>
      </c>
      <c r="F30" s="21">
        <v>6.0</v>
      </c>
      <c r="G30" s="21" t="s">
        <v>110</v>
      </c>
      <c r="H30" s="22" t="s">
        <v>50</v>
      </c>
      <c r="I30" s="22" t="s">
        <v>44</v>
      </c>
    </row>
    <row r="31" ht="15.75" customHeight="1">
      <c r="B31" s="21" t="s">
        <v>111</v>
      </c>
      <c r="C31" s="21" t="s">
        <v>112</v>
      </c>
      <c r="D31" s="21" t="s">
        <v>113</v>
      </c>
      <c r="E31" s="22" t="s">
        <v>109</v>
      </c>
      <c r="F31" s="21">
        <v>7.0</v>
      </c>
      <c r="G31" s="21" t="s">
        <v>89</v>
      </c>
      <c r="H31" s="22" t="s">
        <v>57</v>
      </c>
      <c r="I31" s="22" t="s">
        <v>114</v>
      </c>
    </row>
    <row r="32" ht="15.75" customHeight="1">
      <c r="B32" s="21" t="s">
        <v>111</v>
      </c>
      <c r="C32" s="21" t="s">
        <v>112</v>
      </c>
      <c r="D32" s="21" t="s">
        <v>115</v>
      </c>
      <c r="E32" s="22" t="s">
        <v>109</v>
      </c>
      <c r="F32" s="21">
        <v>7.0</v>
      </c>
      <c r="G32" s="21" t="s">
        <v>89</v>
      </c>
      <c r="H32" s="22" t="s">
        <v>57</v>
      </c>
      <c r="I32" s="22" t="s">
        <v>114</v>
      </c>
    </row>
    <row r="33" ht="15.75" customHeight="1">
      <c r="B33" s="21" t="s">
        <v>111</v>
      </c>
      <c r="C33" s="21" t="s">
        <v>112</v>
      </c>
      <c r="D33" s="21" t="s">
        <v>116</v>
      </c>
      <c r="E33" s="22" t="s">
        <v>109</v>
      </c>
      <c r="F33" s="21">
        <v>7.0</v>
      </c>
      <c r="G33" s="21" t="s">
        <v>89</v>
      </c>
      <c r="H33" s="22" t="s">
        <v>57</v>
      </c>
      <c r="I33" s="22" t="s">
        <v>114</v>
      </c>
    </row>
    <row r="34" ht="15.75" customHeight="1">
      <c r="B34" s="21" t="s">
        <v>111</v>
      </c>
      <c r="C34" s="21" t="s">
        <v>112</v>
      </c>
      <c r="D34" s="21" t="s">
        <v>117</v>
      </c>
      <c r="E34" s="22" t="s">
        <v>109</v>
      </c>
      <c r="F34" s="21">
        <v>7.0</v>
      </c>
      <c r="G34" s="21" t="s">
        <v>89</v>
      </c>
      <c r="H34" s="22" t="s">
        <v>57</v>
      </c>
      <c r="I34" s="22" t="s">
        <v>114</v>
      </c>
    </row>
    <row r="35" ht="15.75" customHeight="1">
      <c r="B35" s="21" t="s">
        <v>111</v>
      </c>
      <c r="C35" s="21" t="s">
        <v>112</v>
      </c>
      <c r="D35" s="21" t="s">
        <v>118</v>
      </c>
      <c r="E35" s="22" t="s">
        <v>109</v>
      </c>
      <c r="F35" s="21">
        <v>7.0</v>
      </c>
      <c r="G35" s="21" t="s">
        <v>89</v>
      </c>
      <c r="H35" s="22" t="s">
        <v>57</v>
      </c>
      <c r="I35" s="22" t="s">
        <v>114</v>
      </c>
    </row>
    <row r="36" ht="15.75" customHeight="1">
      <c r="B36" s="21" t="s">
        <v>111</v>
      </c>
      <c r="C36" s="21" t="s">
        <v>112</v>
      </c>
      <c r="D36" s="21" t="s">
        <v>119</v>
      </c>
      <c r="E36" s="22" t="s">
        <v>109</v>
      </c>
      <c r="F36" s="21">
        <v>7.0</v>
      </c>
      <c r="G36" s="21" t="s">
        <v>89</v>
      </c>
      <c r="H36" s="22" t="s">
        <v>57</v>
      </c>
      <c r="I36" s="22" t="s">
        <v>114</v>
      </c>
    </row>
    <row r="37" ht="15.75" customHeight="1">
      <c r="B37" s="21" t="s">
        <v>111</v>
      </c>
      <c r="C37" s="21" t="s">
        <v>112</v>
      </c>
      <c r="D37" s="21" t="s">
        <v>120</v>
      </c>
      <c r="E37" s="22" t="s">
        <v>109</v>
      </c>
      <c r="F37" s="21">
        <v>7.0</v>
      </c>
      <c r="G37" s="21" t="s">
        <v>89</v>
      </c>
      <c r="H37" s="22" t="s">
        <v>57</v>
      </c>
      <c r="I37" s="22" t="s">
        <v>114</v>
      </c>
    </row>
    <row r="38" ht="15.75" customHeight="1">
      <c r="B38" s="21" t="s">
        <v>111</v>
      </c>
      <c r="C38" s="21" t="s">
        <v>112</v>
      </c>
      <c r="D38" s="21" t="s">
        <v>121</v>
      </c>
      <c r="E38" s="22" t="s">
        <v>109</v>
      </c>
      <c r="F38" s="21">
        <v>7.0</v>
      </c>
      <c r="G38" s="21" t="s">
        <v>89</v>
      </c>
      <c r="H38" s="22" t="s">
        <v>57</v>
      </c>
      <c r="I38" s="22" t="s">
        <v>114</v>
      </c>
    </row>
    <row r="39" ht="15.75" customHeight="1">
      <c r="B39" s="21" t="s">
        <v>123</v>
      </c>
      <c r="C39" s="21" t="s">
        <v>124</v>
      </c>
      <c r="D39" s="21" t="s">
        <v>125</v>
      </c>
      <c r="E39" s="22" t="s">
        <v>109</v>
      </c>
      <c r="F39" s="21">
        <v>8.0</v>
      </c>
      <c r="G39" s="21" t="s">
        <v>126</v>
      </c>
      <c r="H39" s="22" t="s">
        <v>66</v>
      </c>
      <c r="I39" s="22" t="s">
        <v>44</v>
      </c>
    </row>
    <row r="40" ht="15.75" customHeight="1">
      <c r="B40" s="21" t="s">
        <v>127</v>
      </c>
      <c r="C40" s="21" t="s">
        <v>128</v>
      </c>
      <c r="D40" s="21" t="s">
        <v>129</v>
      </c>
      <c r="E40" s="22" t="s">
        <v>109</v>
      </c>
      <c r="F40" s="21">
        <v>8.0</v>
      </c>
      <c r="G40" s="21" t="s">
        <v>89</v>
      </c>
      <c r="H40" s="22" t="s">
        <v>57</v>
      </c>
      <c r="I40" s="22" t="s">
        <v>55</v>
      </c>
    </row>
    <row r="41" ht="15.75" customHeight="1">
      <c r="B41" s="21" t="s">
        <v>127</v>
      </c>
      <c r="C41" s="21" t="s">
        <v>128</v>
      </c>
      <c r="D41" s="21" t="s">
        <v>130</v>
      </c>
      <c r="E41" s="22" t="s">
        <v>109</v>
      </c>
      <c r="F41" s="21">
        <v>8.0</v>
      </c>
      <c r="G41" s="21" t="s">
        <v>89</v>
      </c>
      <c r="H41" s="22" t="s">
        <v>57</v>
      </c>
      <c r="I41" s="22" t="s">
        <v>55</v>
      </c>
    </row>
    <row r="42" ht="15.75" customHeight="1">
      <c r="B42" s="21" t="s">
        <v>127</v>
      </c>
      <c r="C42" s="21" t="s">
        <v>128</v>
      </c>
      <c r="D42" s="21" t="s">
        <v>131</v>
      </c>
      <c r="E42" s="22" t="s">
        <v>109</v>
      </c>
      <c r="F42" s="21">
        <v>8.0</v>
      </c>
      <c r="G42" s="21" t="s">
        <v>126</v>
      </c>
      <c r="H42" s="22" t="s">
        <v>57</v>
      </c>
      <c r="I42" s="22" t="s">
        <v>55</v>
      </c>
    </row>
    <row r="43" ht="15.75" customHeight="1">
      <c r="B43" s="21" t="s">
        <v>127</v>
      </c>
      <c r="C43" s="21" t="s">
        <v>128</v>
      </c>
      <c r="D43" s="21" t="s">
        <v>132</v>
      </c>
      <c r="E43" s="22" t="s">
        <v>109</v>
      </c>
      <c r="F43" s="21">
        <v>8.0</v>
      </c>
      <c r="G43" s="21" t="s">
        <v>89</v>
      </c>
      <c r="H43" s="22" t="s">
        <v>57</v>
      </c>
      <c r="I43" s="22" t="s">
        <v>55</v>
      </c>
    </row>
    <row r="44" ht="15.75" customHeight="1">
      <c r="B44" s="21" t="s">
        <v>134</v>
      </c>
      <c r="C44" s="21" t="s">
        <v>135</v>
      </c>
      <c r="D44" s="21" t="s">
        <v>136</v>
      </c>
      <c r="E44" s="22" t="s">
        <v>109</v>
      </c>
      <c r="F44" s="21">
        <v>9.0</v>
      </c>
      <c r="G44" s="21" t="s">
        <v>89</v>
      </c>
      <c r="H44" s="22" t="s">
        <v>61</v>
      </c>
      <c r="I44" s="22" t="s">
        <v>137</v>
      </c>
    </row>
    <row r="45" ht="15.75" customHeight="1">
      <c r="B45" s="21" t="s">
        <v>134</v>
      </c>
      <c r="C45" s="21" t="s">
        <v>135</v>
      </c>
      <c r="D45" s="21" t="s">
        <v>138</v>
      </c>
      <c r="E45" s="22" t="s">
        <v>109</v>
      </c>
      <c r="F45" s="21">
        <v>9.0</v>
      </c>
      <c r="G45" s="21" t="s">
        <v>89</v>
      </c>
      <c r="H45" s="22" t="s">
        <v>61</v>
      </c>
      <c r="I45" s="22" t="s">
        <v>137</v>
      </c>
    </row>
    <row r="46" ht="15.75" customHeight="1">
      <c r="B46" s="21" t="s">
        <v>134</v>
      </c>
      <c r="C46" s="21" t="s">
        <v>135</v>
      </c>
      <c r="D46" s="21" t="s">
        <v>140</v>
      </c>
      <c r="E46" s="22" t="s">
        <v>109</v>
      </c>
      <c r="F46" s="21">
        <v>9.0</v>
      </c>
      <c r="G46" s="21" t="s">
        <v>89</v>
      </c>
      <c r="H46" s="22" t="s">
        <v>61</v>
      </c>
      <c r="I46" s="22" t="s">
        <v>137</v>
      </c>
    </row>
    <row r="47" ht="15.75" customHeight="1">
      <c r="B47" s="21" t="s">
        <v>134</v>
      </c>
      <c r="C47" s="21" t="s">
        <v>135</v>
      </c>
      <c r="D47" s="21" t="s">
        <v>141</v>
      </c>
      <c r="E47" s="22" t="s">
        <v>109</v>
      </c>
      <c r="F47" s="21">
        <v>9.0</v>
      </c>
      <c r="G47" s="21" t="s">
        <v>110</v>
      </c>
      <c r="H47" s="22" t="s">
        <v>61</v>
      </c>
      <c r="I47" s="22" t="s">
        <v>137</v>
      </c>
    </row>
    <row r="48" ht="15.75" customHeight="1">
      <c r="B48" s="21" t="s">
        <v>143</v>
      </c>
      <c r="C48" s="21" t="s">
        <v>144</v>
      </c>
      <c r="D48" s="21" t="s">
        <v>145</v>
      </c>
      <c r="E48" s="22" t="s">
        <v>109</v>
      </c>
      <c r="F48" s="21">
        <v>9.0</v>
      </c>
      <c r="G48" s="21" t="s">
        <v>89</v>
      </c>
      <c r="H48" s="22" t="s">
        <v>66</v>
      </c>
      <c r="I48" s="22" t="s">
        <v>114</v>
      </c>
    </row>
    <row r="49" ht="15.75" customHeight="1">
      <c r="B49" s="21" t="s">
        <v>143</v>
      </c>
      <c r="C49" s="21" t="s">
        <v>144</v>
      </c>
      <c r="D49" s="21" t="s">
        <v>147</v>
      </c>
      <c r="E49" s="22" t="s">
        <v>109</v>
      </c>
      <c r="F49" s="21">
        <v>9.0</v>
      </c>
      <c r="G49" s="21" t="s">
        <v>89</v>
      </c>
      <c r="H49" s="22" t="s">
        <v>66</v>
      </c>
      <c r="I49" s="22" t="s">
        <v>114</v>
      </c>
    </row>
    <row r="50" ht="15.75" customHeight="1">
      <c r="B50" s="21" t="s">
        <v>143</v>
      </c>
      <c r="C50" s="21" t="s">
        <v>144</v>
      </c>
      <c r="D50" s="21" t="s">
        <v>148</v>
      </c>
      <c r="E50" s="22" t="s">
        <v>109</v>
      </c>
      <c r="F50" s="21">
        <v>9.0</v>
      </c>
      <c r="G50" s="21" t="s">
        <v>89</v>
      </c>
      <c r="H50" s="22" t="s">
        <v>66</v>
      </c>
      <c r="I50" s="22" t="s">
        <v>114</v>
      </c>
    </row>
    <row r="51" ht="15.75" customHeight="1">
      <c r="B51" s="21" t="s">
        <v>143</v>
      </c>
      <c r="C51" s="21" t="s">
        <v>144</v>
      </c>
      <c r="D51" s="21" t="s">
        <v>150</v>
      </c>
      <c r="E51" s="22" t="s">
        <v>109</v>
      </c>
      <c r="F51" s="21">
        <v>9.0</v>
      </c>
      <c r="G51" s="21" t="s">
        <v>89</v>
      </c>
      <c r="H51" s="22" t="s">
        <v>66</v>
      </c>
      <c r="I51" s="22" t="s">
        <v>114</v>
      </c>
    </row>
    <row r="52" ht="15.75" customHeight="1">
      <c r="B52" s="21" t="s">
        <v>152</v>
      </c>
      <c r="C52" s="21" t="s">
        <v>153</v>
      </c>
      <c r="D52" s="21" t="s">
        <v>154</v>
      </c>
      <c r="E52" s="22" t="s">
        <v>109</v>
      </c>
      <c r="F52" s="21">
        <v>10.0</v>
      </c>
      <c r="G52" s="21" t="s">
        <v>126</v>
      </c>
      <c r="H52" s="22" t="s">
        <v>66</v>
      </c>
      <c r="I52" s="22" t="s">
        <v>133</v>
      </c>
    </row>
    <row r="53" ht="15.75" customHeight="1">
      <c r="B53" s="21" t="s">
        <v>152</v>
      </c>
      <c r="C53" s="21" t="s">
        <v>153</v>
      </c>
      <c r="D53" s="21" t="s">
        <v>155</v>
      </c>
      <c r="E53" s="22" t="s">
        <v>109</v>
      </c>
      <c r="F53" s="21">
        <v>10.0</v>
      </c>
      <c r="G53" s="21" t="s">
        <v>126</v>
      </c>
      <c r="H53" s="22" t="s">
        <v>66</v>
      </c>
      <c r="I53" s="22" t="s">
        <v>133</v>
      </c>
    </row>
    <row r="54" ht="15.75" customHeight="1">
      <c r="B54" s="21" t="s">
        <v>152</v>
      </c>
      <c r="C54" s="21" t="s">
        <v>153</v>
      </c>
      <c r="D54" s="21" t="s">
        <v>158</v>
      </c>
      <c r="E54" s="22" t="s">
        <v>109</v>
      </c>
      <c r="F54" s="21">
        <v>10.0</v>
      </c>
      <c r="G54" s="21" t="s">
        <v>126</v>
      </c>
      <c r="H54" s="22" t="s">
        <v>66</v>
      </c>
      <c r="I54" s="22" t="s">
        <v>133</v>
      </c>
    </row>
    <row r="55" ht="15.75" customHeight="1">
      <c r="B55" s="21" t="s">
        <v>152</v>
      </c>
      <c r="C55" s="21" t="s">
        <v>153</v>
      </c>
      <c r="D55" s="21" t="s">
        <v>159</v>
      </c>
      <c r="E55" s="22" t="s">
        <v>109</v>
      </c>
      <c r="F55" s="21">
        <v>10.0</v>
      </c>
      <c r="G55" s="21" t="s">
        <v>126</v>
      </c>
      <c r="H55" s="22" t="s">
        <v>66</v>
      </c>
      <c r="I55" s="22" t="s">
        <v>133</v>
      </c>
    </row>
    <row r="56" ht="15.75" customHeight="1">
      <c r="B56" s="21" t="s">
        <v>152</v>
      </c>
      <c r="C56" s="21" t="s">
        <v>153</v>
      </c>
      <c r="D56" s="21" t="s">
        <v>160</v>
      </c>
      <c r="E56" s="22" t="s">
        <v>109</v>
      </c>
      <c r="F56" s="21">
        <v>10.0</v>
      </c>
      <c r="G56" s="21" t="s">
        <v>126</v>
      </c>
      <c r="H56" s="22" t="s">
        <v>66</v>
      </c>
      <c r="I56" s="22" t="s">
        <v>133</v>
      </c>
    </row>
    <row r="57" ht="15.75" customHeight="1">
      <c r="B57" s="21" t="s">
        <v>152</v>
      </c>
      <c r="C57" s="21" t="s">
        <v>153</v>
      </c>
      <c r="D57" s="21" t="s">
        <v>162</v>
      </c>
      <c r="E57" s="22" t="s">
        <v>109</v>
      </c>
      <c r="F57" s="21">
        <v>10.0</v>
      </c>
      <c r="G57" s="21" t="s">
        <v>126</v>
      </c>
      <c r="H57" s="22" t="s">
        <v>66</v>
      </c>
      <c r="I57" s="22" t="s">
        <v>133</v>
      </c>
    </row>
    <row r="58" ht="15.75" customHeight="1">
      <c r="B58" s="21" t="s">
        <v>152</v>
      </c>
      <c r="C58" s="21" t="s">
        <v>153</v>
      </c>
      <c r="D58" s="21" t="s">
        <v>164</v>
      </c>
      <c r="E58" s="22" t="s">
        <v>109</v>
      </c>
      <c r="F58" s="21">
        <v>10.0</v>
      </c>
      <c r="G58" s="21" t="s">
        <v>126</v>
      </c>
      <c r="H58" s="22" t="s">
        <v>66</v>
      </c>
      <c r="I58" s="22" t="s">
        <v>133</v>
      </c>
    </row>
    <row r="59" ht="15.75" customHeight="1">
      <c r="B59" s="21" t="s">
        <v>165</v>
      </c>
      <c r="C59" s="21" t="s">
        <v>166</v>
      </c>
      <c r="D59" s="21" t="s">
        <v>167</v>
      </c>
      <c r="E59" s="22" t="s">
        <v>109</v>
      </c>
      <c r="F59" s="21">
        <v>10.0</v>
      </c>
      <c r="G59" s="21" t="s">
        <v>126</v>
      </c>
      <c r="H59" s="22" t="s">
        <v>57</v>
      </c>
      <c r="I59" s="22" t="s">
        <v>55</v>
      </c>
    </row>
    <row r="60" ht="15.75" customHeight="1">
      <c r="B60" s="21" t="s">
        <v>165</v>
      </c>
      <c r="C60" s="21" t="s">
        <v>166</v>
      </c>
      <c r="D60" s="21" t="s">
        <v>168</v>
      </c>
      <c r="E60" s="22" t="s">
        <v>109</v>
      </c>
      <c r="F60" s="21">
        <v>10.0</v>
      </c>
      <c r="G60" s="21" t="s">
        <v>126</v>
      </c>
      <c r="H60" s="22" t="s">
        <v>57</v>
      </c>
      <c r="I60" s="22" t="s">
        <v>55</v>
      </c>
    </row>
    <row r="61" ht="15.75" customHeight="1">
      <c r="B61" s="21" t="s">
        <v>165</v>
      </c>
      <c r="C61" s="21" t="s">
        <v>166</v>
      </c>
      <c r="D61" s="21" t="s">
        <v>169</v>
      </c>
      <c r="E61" s="22" t="s">
        <v>109</v>
      </c>
      <c r="F61" s="21">
        <v>10.0</v>
      </c>
      <c r="G61" s="21" t="s">
        <v>126</v>
      </c>
      <c r="H61" s="22" t="s">
        <v>57</v>
      </c>
      <c r="I61" s="22" t="s">
        <v>55</v>
      </c>
    </row>
    <row r="62" ht="15.75" customHeight="1">
      <c r="B62" s="21" t="s">
        <v>165</v>
      </c>
      <c r="C62" s="21" t="s">
        <v>166</v>
      </c>
      <c r="D62" s="21" t="s">
        <v>170</v>
      </c>
      <c r="E62" s="22" t="s">
        <v>109</v>
      </c>
      <c r="F62" s="21">
        <v>10.0</v>
      </c>
      <c r="G62" s="21" t="s">
        <v>126</v>
      </c>
      <c r="H62" s="22" t="s">
        <v>66</v>
      </c>
      <c r="I62" s="22" t="s">
        <v>55</v>
      </c>
    </row>
    <row r="63" ht="15.75" customHeight="1">
      <c r="B63" s="21" t="s">
        <v>165</v>
      </c>
      <c r="C63" s="21" t="s">
        <v>166</v>
      </c>
      <c r="D63" s="21" t="s">
        <v>171</v>
      </c>
      <c r="E63" s="22" t="s">
        <v>172</v>
      </c>
      <c r="F63" s="21">
        <v>11.0</v>
      </c>
      <c r="G63" s="21" t="s">
        <v>65</v>
      </c>
      <c r="H63" s="22" t="s">
        <v>66</v>
      </c>
      <c r="I63" s="22" t="s">
        <v>55</v>
      </c>
    </row>
    <row r="64" ht="15.75" customHeight="1">
      <c r="B64" s="21" t="s">
        <v>165</v>
      </c>
      <c r="C64" s="21" t="s">
        <v>166</v>
      </c>
      <c r="D64" s="21" t="s">
        <v>174</v>
      </c>
      <c r="E64" s="22" t="s">
        <v>172</v>
      </c>
      <c r="F64" s="21">
        <v>11.0</v>
      </c>
      <c r="G64" s="21" t="s">
        <v>65</v>
      </c>
      <c r="H64" s="22" t="s">
        <v>66</v>
      </c>
      <c r="I64" s="22" t="s">
        <v>55</v>
      </c>
    </row>
    <row r="65" ht="15.75" customHeight="1">
      <c r="B65" s="21" t="s">
        <v>165</v>
      </c>
      <c r="C65" s="21" t="s">
        <v>166</v>
      </c>
      <c r="D65" s="21" t="s">
        <v>175</v>
      </c>
      <c r="E65" s="22" t="s">
        <v>172</v>
      </c>
      <c r="F65" s="21">
        <v>11.0</v>
      </c>
      <c r="G65" s="21" t="s">
        <v>65</v>
      </c>
      <c r="H65" s="22" t="s">
        <v>66</v>
      </c>
      <c r="I65" s="22" t="s">
        <v>55</v>
      </c>
    </row>
    <row r="66" ht="15.75" customHeight="1">
      <c r="B66" s="21" t="s">
        <v>176</v>
      </c>
      <c r="C66" s="21" t="s">
        <v>177</v>
      </c>
      <c r="D66" s="21" t="s">
        <v>178</v>
      </c>
      <c r="E66" s="22" t="s">
        <v>172</v>
      </c>
      <c r="F66" s="21">
        <v>11.0</v>
      </c>
      <c r="G66" s="21" t="s">
        <v>179</v>
      </c>
      <c r="H66" s="22" t="s">
        <v>48</v>
      </c>
      <c r="I66" s="22" t="s">
        <v>151</v>
      </c>
    </row>
    <row r="67" ht="15.75" customHeight="1">
      <c r="B67" s="21" t="s">
        <v>176</v>
      </c>
      <c r="C67" s="21" t="s">
        <v>177</v>
      </c>
      <c r="D67" s="21" t="s">
        <v>180</v>
      </c>
      <c r="E67" s="22" t="s">
        <v>172</v>
      </c>
      <c r="F67" s="21">
        <v>11.0</v>
      </c>
      <c r="G67" s="21" t="s">
        <v>179</v>
      </c>
      <c r="H67" s="22" t="s">
        <v>48</v>
      </c>
      <c r="I67" s="22" t="s">
        <v>151</v>
      </c>
    </row>
    <row r="68" ht="15.75" customHeight="1">
      <c r="B68" s="21" t="s">
        <v>176</v>
      </c>
      <c r="C68" s="21" t="s">
        <v>177</v>
      </c>
      <c r="D68" s="21" t="s">
        <v>182</v>
      </c>
      <c r="E68" s="22" t="s">
        <v>172</v>
      </c>
      <c r="F68" s="21">
        <v>11.0</v>
      </c>
      <c r="G68" s="21" t="s">
        <v>179</v>
      </c>
      <c r="H68" s="22" t="s">
        <v>48</v>
      </c>
      <c r="I68" s="22" t="s">
        <v>151</v>
      </c>
    </row>
    <row r="69" ht="15.75" customHeight="1">
      <c r="B69" s="21" t="s">
        <v>176</v>
      </c>
      <c r="C69" s="21" t="s">
        <v>177</v>
      </c>
      <c r="D69" s="21" t="s">
        <v>184</v>
      </c>
      <c r="E69" s="22" t="s">
        <v>172</v>
      </c>
      <c r="F69" s="21">
        <v>11.0</v>
      </c>
      <c r="G69" s="21" t="s">
        <v>179</v>
      </c>
      <c r="H69" s="22" t="s">
        <v>48</v>
      </c>
      <c r="I69" s="22" t="s">
        <v>151</v>
      </c>
    </row>
    <row r="70" ht="15.75" customHeight="1">
      <c r="B70" s="21" t="s">
        <v>176</v>
      </c>
      <c r="C70" s="21" t="s">
        <v>177</v>
      </c>
      <c r="D70" s="21" t="s">
        <v>185</v>
      </c>
      <c r="E70" s="22" t="s">
        <v>172</v>
      </c>
      <c r="F70" s="21">
        <v>11.0</v>
      </c>
      <c r="G70" s="21" t="s">
        <v>179</v>
      </c>
      <c r="H70" s="22" t="s">
        <v>48</v>
      </c>
      <c r="I70" s="22" t="s">
        <v>151</v>
      </c>
    </row>
    <row r="71" ht="15.75" customHeight="1">
      <c r="B71" s="21" t="s">
        <v>176</v>
      </c>
      <c r="C71" s="21" t="s">
        <v>177</v>
      </c>
      <c r="D71" s="21" t="s">
        <v>187</v>
      </c>
      <c r="E71" s="22" t="s">
        <v>172</v>
      </c>
      <c r="F71" s="21">
        <v>11.0</v>
      </c>
      <c r="G71" s="21" t="s">
        <v>179</v>
      </c>
      <c r="H71" s="22" t="s">
        <v>48</v>
      </c>
      <c r="I71" s="22" t="s">
        <v>151</v>
      </c>
    </row>
    <row r="72" ht="15.75" customHeight="1">
      <c r="B72" s="21" t="s">
        <v>176</v>
      </c>
      <c r="C72" s="21" t="s">
        <v>177</v>
      </c>
      <c r="D72" s="21" t="s">
        <v>189</v>
      </c>
      <c r="E72" s="22" t="s">
        <v>172</v>
      </c>
      <c r="F72" s="21">
        <v>11.0</v>
      </c>
      <c r="G72" s="21" t="s">
        <v>179</v>
      </c>
      <c r="H72" s="22" t="s">
        <v>48</v>
      </c>
      <c r="I72" s="22" t="s">
        <v>151</v>
      </c>
    </row>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B1:G1"/>
  </mergeCells>
  <dataValidations>
    <dataValidation type="list" allowBlank="1" sqref="I4:I72">
      <formula1>'Referentes Internacionales'!$C$35:$C$44</formula1>
    </dataValidation>
    <dataValidation type="list" allowBlank="1" sqref="H4:H72">
      <formula1>'Referentes Internacionales'!$C$16:$C$25</formula1>
    </dataValidation>
  </dataValidations>
  <printOptions/>
  <pageMargins bottom="0.75" footer="0.0" header="0.0" left="0.7" right="0.7" top="0.75"/>
  <pageSetup orientation="portrait"/>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0.0"/>
    <col customWidth="1" min="2" max="2" width="22.0"/>
    <col customWidth="1" min="3" max="4" width="16.0"/>
    <col customWidth="1" min="5" max="5" width="18.0"/>
    <col customWidth="1" min="6" max="7" width="16.0"/>
    <col customWidth="1" min="8" max="8" width="20.0"/>
    <col customWidth="1" min="9" max="26" width="8.71"/>
  </cols>
  <sheetData>
    <row r="1" ht="19.5" customHeight="1"/>
    <row r="2">
      <c r="B2" s="1" t="s">
        <v>0</v>
      </c>
    </row>
    <row r="4">
      <c r="B4" s="3" t="s">
        <v>3</v>
      </c>
      <c r="C4" s="5" t="s">
        <v>4</v>
      </c>
      <c r="D4" s="6"/>
      <c r="E4" s="6"/>
      <c r="F4" s="6"/>
      <c r="G4" s="6"/>
      <c r="H4" s="8"/>
    </row>
    <row r="5">
      <c r="B5" s="3" t="s">
        <v>8</v>
      </c>
      <c r="C5" s="5" t="s">
        <v>9</v>
      </c>
      <c r="D5" s="6"/>
      <c r="E5" s="6"/>
      <c r="F5" s="6"/>
      <c r="G5" s="6"/>
      <c r="H5" s="8"/>
    </row>
    <row r="7">
      <c r="A7" s="11" t="s">
        <v>17</v>
      </c>
    </row>
    <row r="9" ht="34.5" customHeight="1">
      <c r="B9" s="14" t="s">
        <v>20</v>
      </c>
      <c r="C9" s="6"/>
      <c r="D9" s="6"/>
      <c r="E9" s="8"/>
      <c r="F9" s="16" t="s">
        <v>21</v>
      </c>
      <c r="G9" s="6"/>
      <c r="H9" s="8"/>
    </row>
    <row r="10">
      <c r="B10" s="19" t="s">
        <v>26</v>
      </c>
      <c r="C10" s="6"/>
      <c r="D10" s="6"/>
      <c r="E10" s="8"/>
      <c r="F10" s="19" t="s">
        <v>29</v>
      </c>
      <c r="G10" s="6"/>
      <c r="H10" s="8"/>
    </row>
    <row r="11">
      <c r="B11" s="19" t="s">
        <v>33</v>
      </c>
      <c r="C11" s="6"/>
      <c r="D11" s="6"/>
      <c r="E11" s="8"/>
      <c r="F11" s="19" t="s">
        <v>35</v>
      </c>
      <c r="G11" s="6"/>
      <c r="H11" s="8"/>
    </row>
    <row r="12">
      <c r="B12" s="19" t="s">
        <v>37</v>
      </c>
      <c r="C12" s="6"/>
      <c r="D12" s="6"/>
      <c r="E12" s="8"/>
      <c r="F12" s="19" t="s">
        <v>38</v>
      </c>
      <c r="G12" s="6"/>
      <c r="H12" s="8"/>
    </row>
    <row r="13">
      <c r="B13" s="19" t="s">
        <v>39</v>
      </c>
      <c r="C13" s="6"/>
      <c r="D13" s="6"/>
      <c r="E13" s="8"/>
      <c r="F13" s="19" t="s">
        <v>41</v>
      </c>
      <c r="G13" s="6"/>
      <c r="H13" s="8"/>
    </row>
    <row r="14" ht="21.75" customHeight="1">
      <c r="B14" s="25"/>
      <c r="C14" s="6"/>
      <c r="D14" s="6"/>
      <c r="E14" s="8"/>
      <c r="F14" s="25"/>
      <c r="G14" s="6"/>
      <c r="H14" s="8"/>
    </row>
    <row r="15" ht="21.75" customHeight="1">
      <c r="B15" s="25"/>
      <c r="C15" s="6"/>
      <c r="D15" s="6"/>
      <c r="E15" s="8"/>
      <c r="F15" s="25"/>
      <c r="G15" s="6"/>
      <c r="H15" s="8"/>
    </row>
    <row r="16" ht="21.75" customHeight="1">
      <c r="B16" s="25"/>
      <c r="C16" s="6"/>
      <c r="D16" s="6"/>
      <c r="E16" s="8"/>
      <c r="F16" s="25"/>
      <c r="G16" s="6"/>
      <c r="H16" s="8"/>
    </row>
    <row r="17" ht="21.75" customHeight="1">
      <c r="B17" s="25"/>
      <c r="C17" s="6"/>
      <c r="D17" s="6"/>
      <c r="E17" s="8"/>
      <c r="F17" s="25"/>
      <c r="G17" s="6"/>
      <c r="H17" s="8"/>
    </row>
    <row r="18" ht="21.75" customHeight="1">
      <c r="B18" s="25"/>
      <c r="C18" s="6"/>
      <c r="D18" s="6"/>
      <c r="E18" s="8"/>
      <c r="F18" s="25"/>
      <c r="G18" s="6"/>
      <c r="H18" s="8"/>
    </row>
    <row r="19" ht="21.75" customHeight="1">
      <c r="B19" s="25"/>
      <c r="C19" s="6"/>
      <c r="D19" s="6"/>
      <c r="E19" s="8"/>
      <c r="F19" s="25"/>
      <c r="G19" s="6"/>
      <c r="H19" s="8"/>
    </row>
    <row r="21" ht="15.75" customHeight="1"/>
    <row r="22" ht="34.5" customHeight="1">
      <c r="B22" s="28" t="s">
        <v>59</v>
      </c>
    </row>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6">
    <mergeCell ref="C4:H4"/>
    <mergeCell ref="C5:H5"/>
    <mergeCell ref="A7:H7"/>
    <mergeCell ref="B9:E9"/>
    <mergeCell ref="F9:H9"/>
    <mergeCell ref="B10:E10"/>
    <mergeCell ref="F10:H10"/>
    <mergeCell ref="B11:E11"/>
    <mergeCell ref="F11:H11"/>
    <mergeCell ref="B12:E12"/>
    <mergeCell ref="F12:H12"/>
    <mergeCell ref="B13:E13"/>
    <mergeCell ref="F13:H13"/>
    <mergeCell ref="F14:H14"/>
    <mergeCell ref="B18:E18"/>
    <mergeCell ref="F18:H18"/>
    <mergeCell ref="B19:E19"/>
    <mergeCell ref="F19:H19"/>
    <mergeCell ref="B22:H22"/>
    <mergeCell ref="B14:E14"/>
    <mergeCell ref="B15:E15"/>
    <mergeCell ref="F15:H15"/>
    <mergeCell ref="B16:E16"/>
    <mergeCell ref="F16:H16"/>
    <mergeCell ref="B17:E17"/>
    <mergeCell ref="F17:H17"/>
  </mergeCells>
  <dataValidations>
    <dataValidation type="list" allowBlank="1" sqref="F10:F19">
      <formula1>'Referentes Internacionales'!$C$49:$C$58</formula1>
    </dataValidation>
  </dataValidations>
  <printOptions/>
  <pageMargins bottom="0.75" footer="0.0" header="0.0" left="0.7" right="0.7" top="0.75"/>
  <pageSetup orientation="portrait"/>
  <drawing r:id="rId1"/>
</worksheet>
</file>