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onsolidado" sheetId="1" state="visible" r:id="rId3"/>
    <sheet name="Plantilla" sheetId="2" state="visible" r:id="rId4"/>
    <sheet name="202400482" sheetId="3" state="visible" r:id="rId5"/>
    <sheet name="202400155" sheetId="4" state="visible" r:id="rId6"/>
    <sheet name="202400066" sheetId="5" state="visible" r:id="rId7"/>
    <sheet name="202507586" sheetId="6" state="visible" r:id="rId8"/>
    <sheet name="202404528" sheetId="7" state="visible" r:id="rId9"/>
    <sheet name="202405048" sheetId="8" state="visible" r:id="rId10"/>
    <sheet name="202501625" sheetId="9" state="visible" r:id="rId11"/>
    <sheet name="202406816" sheetId="10" state="visible" r:id="rId12"/>
    <sheet name="202501349" sheetId="11" state="visible" r:id="rId13"/>
    <sheet name="202403338" sheetId="12" state="visible" r:id="rId14"/>
    <sheet name="202505830" sheetId="13" state="visible" r:id="rId15"/>
    <sheet name="202201204" sheetId="14" state="visible" r:id="rId16"/>
    <sheet name="202308203" sheetId="15" state="visible" r:id="rId17"/>
    <sheet name="202407699" sheetId="16" state="visible" r:id="rId18"/>
    <sheet name="202502481" sheetId="17" state="visible" r:id="rId19"/>
    <sheet name="202501470" sheetId="18" state="visible" r:id="rId20"/>
  </sheets>
  <definedNames>
    <definedName function="false" hidden="true" localSheetId="0" name="_xlnm._FilterDatabase" vbProcedure="false">Consolidado!$A$2:$Z$26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<sst xmlns="http://schemas.openxmlformats.org/spreadsheetml/2006/main" count="1998" uniqueCount="154">
  <si>
    <t xml:space="preserve">Consolidado de calificaciones – Práctica 1: Sistema de Estacionamiento</t>
  </si>
  <si>
    <t xml:space="preserve">No.</t>
  </si>
  <si>
    <t xml:space="preserve">Carné</t>
  </si>
  <si>
    <t xml:space="preserve">Nombre del estudiante</t>
  </si>
  <si>
    <t xml:space="preserve">Habilidades (20)</t>
  </si>
  <si>
    <t xml:space="preserve">Conocimiento (55)</t>
  </si>
  <si>
    <t xml:space="preserve">Autoría (25)</t>
  </si>
  <si>
    <t xml:space="preserve">Subtotal</t>
  </si>
  <si>
    <t xml:space="preserve">Penalización</t>
  </si>
  <si>
    <t xml:space="preserve">Nota final</t>
  </si>
  <si>
    <t xml:space="preserve">Repositorio</t>
  </si>
  <si>
    <t xml:space="preserve">MARTA GABRIELA GÓMEZ DIMAYUGA</t>
  </si>
  <si>
    <t xml:space="preserve">DIEGO ALFONSO CANEL FUENTES</t>
  </si>
  <si>
    <t xml:space="preserve">ERMI RONALDO SOTO MEJÍA</t>
  </si>
  <si>
    <t xml:space="preserve">BRYAN ALEXANDER MARTÍNEZ FLORES</t>
  </si>
  <si>
    <t xml:space="preserve">BRAYAN HOMERO SOSA GONZALEZ</t>
  </si>
  <si>
    <t xml:space="preserve">ROLANDO AARÓN BARRIOS BOROR</t>
  </si>
  <si>
    <t xml:space="preserve">WILLIAM SAMUEL CABRERA GÓMEZ</t>
  </si>
  <si>
    <t xml:space="preserve">HANS CRISTIAN MEYER DIAZ</t>
  </si>
  <si>
    <t xml:space="preserve">ASTRID MARIA SUSETH MORALES RODAS</t>
  </si>
  <si>
    <t xml:space="preserve">DIEGO SEBASTIAN ALVARADO MORATAYA</t>
  </si>
  <si>
    <t xml:space="preserve">ESVIN FERNANDO ORTEGA GONZÁLEZ</t>
  </si>
  <si>
    <t xml:space="preserve">ADRIAN EDUARDO ALVAREZ ZAMBRANO</t>
  </si>
  <si>
    <t xml:space="preserve">ANDY RAÍ TELÓN GABRIEL</t>
  </si>
  <si>
    <t xml:space="preserve">MELISSA GRISSEL PEREZ RIVAS</t>
  </si>
  <si>
    <t xml:space="preserve">MONIKA ESTEFANIA CRUZ PALACIOS</t>
  </si>
  <si>
    <t xml:space="preserve">GABRIEL LEVI ZAPETA MAZARIEGOS</t>
  </si>
  <si>
    <t xml:space="preserve">EVELYN ARACELY CARDONA AGUILON</t>
  </si>
  <si>
    <t xml:space="preserve">KEVIN ANDRE MENDOZA VILLEDA</t>
  </si>
  <si>
    <t xml:space="preserve">DIEGO JOSÉ GÓMEZ LÓPEZ</t>
  </si>
  <si>
    <t xml:space="preserve">CARLOS ANDRÉS HERNÁNDEZ VÁSQUEZ</t>
  </si>
  <si>
    <t xml:space="preserve">CHUNG MIN KIM CHEN</t>
  </si>
  <si>
    <t xml:space="preserve">FRANCISCO JAVIER CHIVICHÓN FERNÁNDEZ</t>
  </si>
  <si>
    <t xml:space="preserve">NAOMI ROCIO AXPUAC VELASQUEZ</t>
  </si>
  <si>
    <t xml:space="preserve">KEVYN JOSUÉ APÉN OTZOY</t>
  </si>
  <si>
    <t xml:space="preserve">Estudiantes calificados</t>
  </si>
  <si>
    <t xml:space="preserve">Nota promedio</t>
  </si>
  <si>
    <t xml:space="preserve">Nota más alta</t>
  </si>
  <si>
    <t xml:space="preserve">Nota más baja</t>
  </si>
  <si>
    <t xml:space="preserve">Aprobados (61 pts o más)</t>
  </si>
  <si>
    <t xml:space="preserve">Reprobados (menos de 61 pts)</t>
  </si>
  <si>
    <t xml:space="preserve">UNIVERSIDAD DE SAN CARLOS DE GUATEMALA</t>
  </si>
  <si>
    <t xml:space="preserve">FACULTAD DE INGENIERÍA</t>
  </si>
  <si>
    <t xml:space="preserve">ESCUELA DE CIENCIAS Y SISTEMAS</t>
  </si>
  <si>
    <t xml:space="preserve">Introducción a la Programación y Computación 1, Sección B</t>
  </si>
  <si>
    <t xml:space="preserve">Ing William Estuardo Escobar Argueta</t>
  </si>
  <si>
    <t xml:space="preserve">Aux. Fernando José Vicente Velásquez</t>
  </si>
  <si>
    <t xml:space="preserve">Hoja de Calificación – Proyecto 1: Centro de Rescate Animal: Gestión de Refugio y Adopciones</t>
  </si>
  <si>
    <t xml:space="preserve">Fecha de calificación:</t>
  </si>
  <si>
    <t xml:space="preserve">Nombre del estudiante:</t>
  </si>
  <si>
    <t xml:space="preserve">Carné:</t>
  </si>
  <si>
    <t xml:space="preserve">Descripción de Ponderación</t>
  </si>
  <si>
    <t xml:space="preserve">Valor</t>
  </si>
  <si>
    <t xml:space="preserve">Observación</t>
  </si>
  <si>
    <t xml:space="preserve">Punteo</t>
  </si>
  <si>
    <t xml:space="preserve">1. HABILIDADES – CÓMO SE PROGRAMA</t>
  </si>
  <si>
    <t xml:space="preserve">1.1 Documentación</t>
  </si>
  <si>
    <t xml:space="preserve">Manual técnico detallado completo y coherente con el código</t>
  </si>
  <si>
    <t xml:space="preserve">Manual de usuario con capturas reales y guia para el usuario</t>
  </si>
  <si>
    <t xml:space="preserve">Diagramas (flujo, módulos, matriz de ubicaciones)</t>
  </si>
  <si>
    <t xml:space="preserve">Informe realizado con herramienta https://aicodedetector.org/</t>
  </si>
  <si>
    <t xml:space="preserve">1.2 Repositorio GitHub</t>
  </si>
  <si>
    <t xml:space="preserve">Formato de nombre correcto y auxiliar agregado como colaborador</t>
  </si>
  <si>
    <t xml:space="preserve">Commits progresivos, no concentrados al final</t>
  </si>
  <si>
    <t xml:space="preserve">Estructura de carpetas ordenada y proyecto compilable desde el repo</t>
  </si>
  <si>
    <t xml:space="preserve">1.3 Buenas prácticas de código y reportes HTML</t>
  </si>
  <si>
    <t xml:space="preserve">Arquitectura ordenada (separación tipo MVC, sin clases gigantes)</t>
  </si>
  <si>
    <t xml:space="preserve">Nombres de variables/métodos claros y comentarios útiles</t>
  </si>
  <si>
    <t xml:space="preserve">Reportes HTML generados correctamente (formato de nombre, contenido)</t>
  </si>
  <si>
    <t xml:space="preserve">2. CONOCIMIENTO – QUÉ SE PROGRAMA</t>
  </si>
  <si>
    <t xml:space="preserve">2.1 Autenticación y roles</t>
  </si>
  <si>
    <t xml:space="preserve">Login válido contra archivo de usuarios</t>
  </si>
  <si>
    <t xml:space="preserve">Permisos diferenciados admin/auxiliar</t>
  </si>
  <si>
    <t xml:space="preserve">Manejo de intentos fallidos</t>
  </si>
  <si>
    <t xml:space="preserve">2.2 Animales</t>
  </si>
  <si>
    <t xml:space="preserve">Registro con generación de código y validaciones</t>
  </si>
  <si>
    <t xml:space="preserve">Búsqueda por código/nombre/especie/estado</t>
  </si>
  <si>
    <t xml:space="preserve">Edición de estado clínico y de adopción</t>
  </si>
  <si>
    <t xml:space="preserve">Listado y filtro de activos</t>
  </si>
  <si>
    <t xml:space="preserve">Eliminación lógica sin romper referencias</t>
  </si>
  <si>
    <t xml:space="preserve">2.3 Adoptantes</t>
  </si>
  <si>
    <t xml:space="preserve">Registro con validación de documento/teléfono</t>
  </si>
  <si>
    <t xml:space="preserve">Búsqueda por código/nombre/documento</t>
  </si>
  <si>
    <t xml:space="preserve">Edición y listado de activos</t>
  </si>
  <si>
    <t xml:space="preserve">2.4 Solicitudes de adopción</t>
  </si>
  <si>
    <t xml:space="preserve">Registro validando animal disponible y adoptante existente</t>
  </si>
  <si>
    <t xml:space="preserve">Flujo de estados respetado (PENDIENTE→EN_REVISION→APROBADA/RECHAZADA/ANULADA)</t>
  </si>
  <si>
    <t xml:space="preserve">Actualización automática del animal a ADOPTADO al aprobar</t>
  </si>
  <si>
    <t xml:space="preserve">Consulta de historial por animal/adoptante</t>
  </si>
  <si>
    <t xml:space="preserve">2.5 Rescates urgentes</t>
  </si>
  <si>
    <t xml:space="preserve">Registro con prioridad y estado inicial</t>
  </si>
  <si>
    <t xml:space="preserve">Listado ordenado por prioridad</t>
  </si>
  <si>
    <t xml:space="preserve">Atención de casos siguiendo el flujo PENDIENTE→EN_PROCESO→ATENDIDO</t>
  </si>
  <si>
    <t xml:space="preserve">2.6 Matriz de ubicaciones</t>
  </si>
  <si>
    <t xml:space="preserve">Consulta de disponibilidad por área</t>
  </si>
  <si>
    <t xml:space="preserve">Asignación de animal a espacio libre respetando reglas del área</t>
  </si>
  <si>
    <t xml:space="preserve">Liberación de espacio al adoptar/eliminar</t>
  </si>
  <si>
    <t xml:space="preserve">Visualización gráfica de la matriz</t>
  </si>
  <si>
    <t xml:space="preserve">2.7 Bitácoras (acciones y errores)</t>
  </si>
  <si>
    <t xml:space="preserve">Registro automático de eventos en la Bitácora de acciones</t>
  </si>
  <si>
    <t xml:space="preserve">Registro automático de errores/validaciones rechazadas en la Bitácora de errores</t>
  </si>
  <si>
    <t xml:space="preserve">Acceso restringido de la Bitácora de errores solo a ADMIN</t>
  </si>
  <si>
    <t xml:space="preserve">Consulta ordenada (más reciente primero)</t>
  </si>
  <si>
    <t xml:space="preserve">2.8 Persistencia</t>
  </si>
  <si>
    <t xml:space="preserve">Guardado correcto en archivo con el formato definido</t>
  </si>
  <si>
    <t xml:space="preserve">Carga correcta de datos al reiniciar la aplicación</t>
  </si>
  <si>
    <t xml:space="preserve">3. VERIFICACIÓN DE AUTORÍA / DEFENSA</t>
  </si>
  <si>
    <t xml:space="preserve">3.1 Preguntas sobre el código</t>
  </si>
  <si>
    <t xml:space="preserve">Pregunta teórica 1: explica la lógica y localiza la implementación en el código</t>
  </si>
  <si>
    <t xml:space="preserve">Pregunta teórica 2: explica la lógica y localiza la implementación en el código</t>
  </si>
  <si>
    <t xml:space="preserve">Pregunta teórica 3: explica la lógica y localiza la implementación en el código</t>
  </si>
  <si>
    <t xml:space="preserve">Pregunta teórica 4: explica la lógica y localiza la implementación en el código</t>
  </si>
  <si>
    <t xml:space="preserve">Pregunta teórica 5: explica la lógica y localiza la implementación en el código</t>
  </si>
  <si>
    <t xml:space="preserve">3.2 Modificación de código durante la evaluación</t>
  </si>
  <si>
    <t xml:space="preserve">Ubica en el código la lógica que debe modificar</t>
  </si>
  <si>
    <t xml:space="preserve">Implementa la modificación solicitada</t>
  </si>
  <si>
    <t xml:space="preserve">Compila el proyecto y demuestra el cambio funcionando</t>
  </si>
  <si>
    <t xml:space="preserve">TOTAL OBTENIDO (antes de penalizaciones)</t>
  </si>
  <si>
    <t xml:space="preserve">REQUISITOS PARA OPTAR A LA CALIFICACIÓN (informativo)</t>
  </si>
  <si>
    <t xml:space="preserve">Requisito</t>
  </si>
  <si>
    <t xml:space="preserve">Cumple</t>
  </si>
  <si>
    <t xml:space="preserve">Tecnología establecida: Java, aplicación con interfaz grafica usando POO</t>
  </si>
  <si>
    <t xml:space="preserve">Ejecución: el proyecto compila y el archivo .jar funciona correctamente</t>
  </si>
  <si>
    <t xml:space="preserve">Repositorio: privado, nombre correcto, auxiliar como colaborador y archivos completos</t>
  </si>
  <si>
    <t xml:space="preserve">Documentación: Manual técnico, Manual de usuario, Diagrama de flujo e informes</t>
  </si>
  <si>
    <t xml:space="preserve">Funcionalidad mínima: Muestra el menú,etc...</t>
  </si>
  <si>
    <t xml:space="preserve">Autoría: el estudiante se presenta a la evaluación y explica y modifica su código</t>
  </si>
  <si>
    <t xml:space="preserve">ASPECTOS REQUERIDOS – PENALIZACIONES SOBRE EL TOTAL OBTENIDO</t>
  </si>
  <si>
    <t xml:space="preserve">Descripción</t>
  </si>
  <si>
    <t xml:space="preserve">¿Aplica?</t>
  </si>
  <si>
    <t xml:space="preserve">Descuento</t>
  </si>
  <si>
    <t xml:space="preserve">Falta de documentación adecuada (README, manuales, diagrama o informe)</t>
  </si>
  <si>
    <t xml:space="preserve">Mal uso de estructura de código, comentarios o indentación (dificulta entender el código)</t>
  </si>
  <si>
    <t xml:space="preserve">El estudiante realizó commits fuera de la fecha de entrega</t>
  </si>
  <si>
    <t xml:space="preserve">El estudiante no realizo 2 commits semanales</t>
  </si>
  <si>
    <t xml:space="preserve">La aplicación no está desarrollada en Java</t>
  </si>
  <si>
    <t xml:space="preserve">Uso de librerías no permitidas</t>
  </si>
  <si>
    <t xml:space="preserve">Uso de ArrayList, LinkedList, List, HashMap u otra colección o estructura dinámica</t>
  </si>
  <si>
    <t xml:space="preserve">La aplicación no tiene interfaz grafica (es de consola)</t>
  </si>
  <si>
    <t xml:space="preserve">Uso de archivos, bases de datos o servicios externos para almacenar información</t>
  </si>
  <si>
    <t xml:space="preserve">Toda la solución está desarrollada dentro del método main</t>
  </si>
  <si>
    <t xml:space="preserve">No se agregó al auxiliar como colaborador del repositorio</t>
  </si>
  <si>
    <t xml:space="preserve">No se siguen instrucciones del repositorio (otro nombre, otro repositorio o falta de estructura de carpetas)</t>
  </si>
  <si>
    <t xml:space="preserve">El estudiante realizó copia total o parcial de código, documentación o diagramas</t>
  </si>
  <si>
    <t xml:space="preserve">El estudiante utilizó inteligencia artificial en la mayoría del proyecto</t>
  </si>
  <si>
    <t xml:space="preserve">El estudiante no presenta el proyecto usando el .jar generado</t>
  </si>
  <si>
    <t xml:space="preserve">El estudiante no se presenta a la evaluación o no puede explicar ni modificar su código</t>
  </si>
  <si>
    <t xml:space="preserve">TOTAL DE PENALIZACIONES</t>
  </si>
  <si>
    <t xml:space="preserve">NOTA FINAL (sobre 100 pts)</t>
  </si>
  <si>
    <t xml:space="preserve">Observaciones generales:</t>
  </si>
  <si>
    <t xml:space="preserve">_________________________</t>
  </si>
  <si>
    <t xml:space="preserve">Firma del Alumno</t>
  </si>
  <si>
    <t xml:space="preserve">Firma del Auxiliar</t>
  </si>
  <si>
    <t xml:space="preserve">Sí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</si>
</sst>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\ %"/>
    <numFmt numFmtId="167" formatCode="0"/>
    <numFmt numFmtId="168" formatCode="dd/mm/yyyy"/>
    <numFmt numFmtId="169" formatCode="0.0"/>
  </numFmts>
  <fonts count="12">
    <font>
      <sz val="11"/>
      <color theme="1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0"/>
    </font>
    <font>
      <b val="true"/>
      <sz val="10"/>
      <color theme="1"/>
      <name val="Arial"/>
      <family val="0"/>
    </font>
    <font>
      <sz val="10"/>
      <color theme="1"/>
      <name val="Arial"/>
      <family val="0"/>
    </font>
    <font>
      <sz val="11"/>
      <color theme="1"/>
      <name val="Arial"/>
      <family val="0"/>
    </font>
    <font>
      <sz val="11"/>
      <color theme="1"/>
      <name val="Aptos Narrow"/>
      <family val="0"/>
    </font>
    <font>
      <b val="true"/>
      <sz val="10"/>
      <color theme="1"/>
      <name val="Arial"/>
      <family val="0"/>
    </font>
    <font>
      <b val="true"/>
      <sz val="10"/>
      <color theme="1"/>
      <name val="Arial"/>
      <family val="0"/>
    </font>
    <font>
      <sz val="10"/>
      <color theme="1"/>
      <name val="Calibri"/>
      <family val="0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E699"/>
      </patternFill>
    </fill>
    <fill>
      <patternFill patternType="solid">
        <fgColor rgb="FFFFE699"/>
        <bgColor rgb="FFFFF2CC"/>
      </patternFill>
    </fill>
    <fill>
      <patternFill patternType="solid">
        <fgColor rgb="FFB8CCE4"/>
        <bgColor rgb="FF99CCFF"/>
      </patternFill>
    </fill>
    <fill>
      <patternFill patternType="solid">
        <fgColor rgb="FFDCE6F1"/>
        <bgColor rgb="FFCCFFFF"/>
      </patternFill>
    </fill>
    <fill>
      <patternFill patternType="solid">
        <fgColor rgb="FFC6E0B4"/>
        <bgColor rgb="FFB8CCE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9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9" fontId="9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9" fontId="9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9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9" fontId="9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804"/>
          <bgColor rgb="FF000000"/>
        </patternFill>
      </fill>
    </dxf>
    <dxf>
      <fill>
        <patternFill patternType="solid">
          <fgColor rgb="FFFF0C06"/>
          <bgColor rgb="FF000000"/>
        </patternFill>
      </fill>
    </dxf>
    <dxf>
      <fill>
        <patternFill patternType="solid">
          <fgColor rgb="FFFF1108"/>
          <bgColor rgb="FF000000"/>
        </patternFill>
      </fill>
    </dxf>
    <dxf>
      <fill>
        <patternFill patternType="solid">
          <fgColor rgb="FFFF150A"/>
          <bgColor rgb="FF000000"/>
        </patternFill>
      </fill>
    </dxf>
    <dxf>
      <font>
        <name val="Arial"/>
        <family val="0"/>
        <color rgb="FF9C0006"/>
        <sz val="10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6E0B4"/>
      <rgbColor rgb="FF808080"/>
      <rgbColor rgb="FF8EA9DB"/>
      <rgbColor rgb="FF993366"/>
      <rgbColor rgb="FFFFF2CC"/>
      <rgbColor rgb="FFDCE6F1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4.57"/>
    <col collapsed="false" customWidth="true" hidden="false" outlineLevel="0" max="2" min="2" style="1" width="11.58"/>
    <col collapsed="false" customWidth="true" hidden="false" outlineLevel="0" max="3" min="3" style="1" width="35.43"/>
    <col collapsed="false" customWidth="true" hidden="false" outlineLevel="0" max="4" min="4" style="1" width="12.15"/>
    <col collapsed="false" customWidth="true" hidden="false" outlineLevel="0" max="5" min="5" style="1" width="13.86"/>
    <col collapsed="false" customWidth="true" hidden="false" outlineLevel="0" max="6" min="6" style="1" width="11"/>
    <col collapsed="false" customWidth="true" hidden="false" outlineLevel="0" max="7" min="7" style="1" width="8.71"/>
    <col collapsed="false" customWidth="true" hidden="false" outlineLevel="0" max="8" min="8" style="1" width="12.86"/>
    <col collapsed="false" customWidth="true" hidden="false" outlineLevel="0" max="9" min="9" style="1" width="12"/>
    <col collapsed="false" customWidth="true" hidden="false" outlineLevel="0" max="10" min="10" style="1" width="101.57"/>
    <col collapsed="false" customWidth="true" hidden="false" outlineLevel="0" max="26" min="11" style="1" width="8.71"/>
  </cols>
  <sheetData>
    <row r="1" customFormat="false" ht="1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7.7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customFormat="false" ht="13.8" hidden="false" customHeight="false" outlineLevel="0" collapsed="false">
      <c r="A3" s="4" t="n">
        <v>1</v>
      </c>
      <c r="B3" s="5" t="n">
        <v>201024808</v>
      </c>
      <c r="C3" s="6" t="s">
        <v>11</v>
      </c>
      <c r="D3" s="7" t="e">
        <f aca="true">IFERROR(INDIRECT(B3 &amp; "!D13"), "0")</f>
        <v>#REF!</v>
      </c>
      <c r="E3" s="7" t="e">
        <f aca="true">IFERROR(INDIRECT(B3 &amp; "!D27"), "0")</f>
        <v>#REF!</v>
      </c>
      <c r="F3" s="7" t="e">
        <f aca="true">IFERROR(INDIRECT(B3 &amp; "!D64"), "0")</f>
        <v>#REF!</v>
      </c>
      <c r="G3" s="8" t="e">
        <f aca="false">IF(C3="","",SUM(D3:F3))</f>
        <v>#REF!</v>
      </c>
      <c r="H3" s="9" t="str">
        <f aca="false">IFERROR(__xludf.dummyfunction("IFERROR(MIN(FILTER(INDIRECT(B3 &amp; ""!B101:B115""), LEFT(INDIRECT(B3 &amp; ""!C101:C115""),1)=""S"")), ""0%"")"),"0%")</f>
        <v>0%</v>
      </c>
      <c r="I3" s="10" t="e">
        <f aca="false">IF(C3="","",MAX(0,ROUND(G3*(1+H3),2)))</f>
        <v>#REF!</v>
      </c>
      <c r="J3" s="11"/>
    </row>
    <row r="4" customFormat="false" ht="13.8" hidden="false" customHeight="false" outlineLevel="0" collapsed="false">
      <c r="A4" s="4" t="n">
        <v>2</v>
      </c>
      <c r="B4" s="12" t="n">
        <v>201503481</v>
      </c>
      <c r="C4" s="6" t="s">
        <v>12</v>
      </c>
      <c r="D4" s="7" t="e">
        <f aca="true">IFERROR(INDIRECT(B4 &amp; "!D13"), "0")</f>
        <v>#REF!</v>
      </c>
      <c r="E4" s="7" t="e">
        <f aca="true">IFERROR(INDIRECT(B4 &amp; "!D27"), "0")</f>
        <v>#REF!</v>
      </c>
      <c r="F4" s="7" t="e">
        <f aca="true">IFERROR(INDIRECT(B4 &amp; "!D64"), "0")</f>
        <v>#REF!</v>
      </c>
      <c r="G4" s="8" t="e">
        <f aca="false">IF(C4="","",SUM(D4:F4))</f>
        <v>#REF!</v>
      </c>
      <c r="H4" s="9" t="str">
        <f aca="false">IFERROR(__xludf.dummyfunction("IFERROR(MIN(FILTER(INDIRECT(B4 &amp; ""!B101:B115""), LEFT(INDIRECT(B4 &amp; ""!C101:C115""),1)=""S"")), ""0%"")"),"0%")</f>
        <v>0%</v>
      </c>
      <c r="I4" s="10" t="e">
        <f aca="false">IF(C4="","",MAX(0,ROUND(G4*(1+H4),2)))</f>
        <v>#REF!</v>
      </c>
      <c r="J4" s="11"/>
    </row>
    <row r="5" customFormat="false" ht="13.8" hidden="false" customHeight="false" outlineLevel="0" collapsed="false">
      <c r="A5" s="4" t="n">
        <v>3</v>
      </c>
      <c r="B5" s="12" t="n">
        <v>202004723</v>
      </c>
      <c r="C5" s="6" t="s">
        <v>13</v>
      </c>
      <c r="D5" s="7" t="e">
        <f aca="true">IFERROR(INDIRECT(B5 &amp; "!D13"), "0")</f>
        <v>#REF!</v>
      </c>
      <c r="E5" s="7" t="e">
        <f aca="true">IFERROR(INDIRECT(B5 &amp; "!D27"), "0")</f>
        <v>#REF!</v>
      </c>
      <c r="F5" s="7" t="e">
        <f aca="true">IFERROR(INDIRECT(B5 &amp; "!D64"), "0")</f>
        <v>#REF!</v>
      </c>
      <c r="G5" s="8" t="e">
        <f aca="false">IF(C5="","",SUM(D5:F5))</f>
        <v>#REF!</v>
      </c>
      <c r="H5" s="9" t="str">
        <f aca="false">IFERROR(__xludf.dummyfunction("IFERROR(MIN(FILTER(INDIRECT(B5 &amp; ""!B101:B115""), LEFT(INDIRECT(B5 &amp; ""!C101:C115""),1)=""S"")), ""0%"")"),"0%")</f>
        <v>0%</v>
      </c>
      <c r="I5" s="10" t="e">
        <f aca="false">IF(C5="","",MAX(0,ROUND(G5*(1+H5),2)))</f>
        <v>#REF!</v>
      </c>
      <c r="J5" s="11"/>
    </row>
    <row r="6" customFormat="false" ht="13.8" hidden="false" customHeight="false" outlineLevel="0" collapsed="false">
      <c r="A6" s="4" t="n">
        <v>4</v>
      </c>
      <c r="B6" s="12" t="n">
        <v>202201204</v>
      </c>
      <c r="C6" s="6" t="s">
        <v>14</v>
      </c>
      <c r="D6" s="7" t="n">
        <f aca="true">IFERROR(INDIRECT(B6 &amp; "!D13"), "0")</f>
        <v>0</v>
      </c>
      <c r="E6" s="7" t="n">
        <f aca="true">IFERROR(INDIRECT(B6 &amp; "!D27"), "0")</f>
        <v>2</v>
      </c>
      <c r="F6" s="7" t="n">
        <f aca="true">IFERROR(INDIRECT(B6 &amp; "!D64"), "0")</f>
        <v>0</v>
      </c>
      <c r="G6" s="8" t="n">
        <f aca="false">IF(C6="","",SUM(D6:F6))</f>
        <v>2</v>
      </c>
      <c r="H6" s="9" t="str">
        <f aca="false">IFERROR(__xludf.dummyfunction("IFERROR(MIN(FILTER(INDIRECT(B6 &amp; ""!B101:B115""), LEFT(INDIRECT(B6 &amp; ""!C101:C115""),1)=""S"")), ""0%"")"),"0%")</f>
        <v>0%</v>
      </c>
      <c r="I6" s="10" t="n">
        <f aca="false">IF(C6="","",MAX(0,ROUND(G6*(1+H6),2)))</f>
        <v>2</v>
      </c>
      <c r="J6" s="11"/>
    </row>
    <row r="7" customFormat="false" ht="13.8" hidden="false" customHeight="false" outlineLevel="0" collapsed="false">
      <c r="A7" s="4" t="n">
        <v>5</v>
      </c>
      <c r="B7" s="12" t="n">
        <v>202300365</v>
      </c>
      <c r="C7" s="6" t="s">
        <v>15</v>
      </c>
      <c r="D7" s="7" t="e">
        <f aca="true">IFERROR(INDIRECT(B7 &amp; "!D13"), "0")</f>
        <v>#REF!</v>
      </c>
      <c r="E7" s="7" t="e">
        <f aca="true">IFERROR(INDIRECT(B7 &amp; "!D27"), "0")</f>
        <v>#REF!</v>
      </c>
      <c r="F7" s="7" t="e">
        <f aca="true">IFERROR(INDIRECT(B7 &amp; "!D64"), "0")</f>
        <v>#REF!</v>
      </c>
      <c r="G7" s="8" t="e">
        <f aca="false">IF(C7="","",SUM(D7:F7))</f>
        <v>#REF!</v>
      </c>
      <c r="H7" s="9" t="str">
        <f aca="false">IFERROR(__xludf.dummyfunction("IFERROR(MIN(FILTER(INDIRECT(B7 &amp; ""!B101:B115""), LEFT(INDIRECT(B7 &amp; ""!C101:C115""),1)=""S"")), ""0%"")"),"0%")</f>
        <v>0%</v>
      </c>
      <c r="I7" s="10" t="e">
        <f aca="false">IF(C7="","",MAX(0,ROUND(G7*(1+H7),2)))</f>
        <v>#REF!</v>
      </c>
      <c r="J7" s="11"/>
    </row>
    <row r="8" customFormat="false" ht="13.8" hidden="false" customHeight="false" outlineLevel="0" collapsed="false">
      <c r="A8" s="4" t="n">
        <v>6</v>
      </c>
      <c r="B8" s="12" t="n">
        <v>202303797</v>
      </c>
      <c r="C8" s="6" t="s">
        <v>16</v>
      </c>
      <c r="D8" s="7" t="e">
        <f aca="true">IFERROR(INDIRECT(B8 &amp; "!D13"), "0")</f>
        <v>#REF!</v>
      </c>
      <c r="E8" s="7" t="e">
        <f aca="true">IFERROR(INDIRECT(B8 &amp; "!D27"), "0")</f>
        <v>#REF!</v>
      </c>
      <c r="F8" s="7" t="e">
        <f aca="true">IFERROR(INDIRECT(B8 &amp; "!D64"), "0")</f>
        <v>#REF!</v>
      </c>
      <c r="G8" s="8" t="e">
        <f aca="false">IF(C8="","",SUM(D8:F8))</f>
        <v>#REF!</v>
      </c>
      <c r="H8" s="9" t="str">
        <f aca="false">IFERROR(__xludf.dummyfunction("IFERROR(MIN(FILTER(INDIRECT(B8 &amp; ""!B101:B115""), LEFT(INDIRECT(B8 &amp; ""!C101:C115""),1)=""S"")), ""0%"")"),"0%")</f>
        <v>0%</v>
      </c>
      <c r="I8" s="10" t="e">
        <f aca="false">IF(C8="","",MAX(0,ROUND(G8*(1+H8),2)))</f>
        <v>#REF!</v>
      </c>
      <c r="J8" s="11"/>
    </row>
    <row r="9" customFormat="false" ht="13.8" hidden="false" customHeight="false" outlineLevel="0" collapsed="false">
      <c r="A9" s="4" t="n">
        <v>7</v>
      </c>
      <c r="B9" s="12" t="n">
        <v>202306260</v>
      </c>
      <c r="C9" s="6" t="s">
        <v>17</v>
      </c>
      <c r="D9" s="7" t="e">
        <f aca="true">IFERROR(INDIRECT(B9 &amp; "!D13"), "0")</f>
        <v>#REF!</v>
      </c>
      <c r="E9" s="7" t="e">
        <f aca="true">IFERROR(INDIRECT(B9 &amp; "!D27"), "0")</f>
        <v>#REF!</v>
      </c>
      <c r="F9" s="7" t="e">
        <f aca="true">IFERROR(INDIRECT(B9 &amp; "!D64"), "0")</f>
        <v>#REF!</v>
      </c>
      <c r="G9" s="8" t="e">
        <f aca="false">IF(C9="","",SUM(D9:F9))</f>
        <v>#REF!</v>
      </c>
      <c r="H9" s="9" t="str">
        <f aca="false">IFERROR(__xludf.dummyfunction("IFERROR(MIN(FILTER(INDIRECT(B9 &amp; ""!B101:B115""), LEFT(INDIRECT(B9 &amp; ""!C101:C115""),1)=""S"")), ""0%"")"),"0%")</f>
        <v>0%</v>
      </c>
      <c r="I9" s="10" t="e">
        <f aca="false">IF(C9="","",MAX(0,ROUND(G9*(1+H9),2)))</f>
        <v>#REF!</v>
      </c>
      <c r="J9" s="11"/>
    </row>
    <row r="10" customFormat="false" ht="13.8" hidden="false" customHeight="false" outlineLevel="0" collapsed="false">
      <c r="A10" s="4" t="n">
        <v>8</v>
      </c>
      <c r="B10" s="5" t="n">
        <v>202308203</v>
      </c>
      <c r="C10" s="13" t="s">
        <v>18</v>
      </c>
      <c r="D10" s="7" t="n">
        <f aca="true">IFERROR(INDIRECT(B10 &amp; "!D13"), "0")</f>
        <v>0</v>
      </c>
      <c r="E10" s="7" t="n">
        <f aca="true">IFERROR(INDIRECT(B10 &amp; "!D27"), "0")</f>
        <v>2</v>
      </c>
      <c r="F10" s="7" t="n">
        <f aca="true">IFERROR(INDIRECT(B10 &amp; "!D64"), "0")</f>
        <v>0</v>
      </c>
      <c r="G10" s="8" t="n">
        <f aca="false">IF(C10="","",SUM(D10:F10))</f>
        <v>2</v>
      </c>
      <c r="H10" s="9" t="str">
        <f aca="false">IFERROR(__xludf.dummyfunction("IFERROR(MIN(FILTER(INDIRECT(B10 &amp; ""!B101:B115""), LEFT(INDIRECT(B10 &amp; ""!C101:C115""),1)=""S"")), ""0%"")"),"0%")</f>
        <v>0%</v>
      </c>
      <c r="I10" s="10" t="n">
        <f aca="false">IF(C10="","",MAX(0,ROUND(G10*(1+H10),2)))</f>
        <v>2</v>
      </c>
      <c r="J10" s="11"/>
    </row>
    <row r="11" customFormat="false" ht="13.8" hidden="false" customHeight="false" outlineLevel="0" collapsed="false">
      <c r="A11" s="4" t="n">
        <v>9</v>
      </c>
      <c r="B11" s="12" t="n">
        <v>202308528</v>
      </c>
      <c r="C11" s="6" t="s">
        <v>19</v>
      </c>
      <c r="D11" s="7" t="e">
        <f aca="true">IFERROR(INDIRECT(B11 &amp; "!D13"), "0")</f>
        <v>#REF!</v>
      </c>
      <c r="E11" s="7" t="e">
        <f aca="true">IFERROR(INDIRECT(B11 &amp; "!D27"), "0")</f>
        <v>#REF!</v>
      </c>
      <c r="F11" s="7" t="e">
        <f aca="true">IFERROR(INDIRECT(B11 &amp; "!D64"), "0")</f>
        <v>#REF!</v>
      </c>
      <c r="G11" s="8" t="e">
        <f aca="false">IF(C11="","",SUM(D11:F11))</f>
        <v>#REF!</v>
      </c>
      <c r="H11" s="9" t="str">
        <f aca="false">IFERROR(__xludf.dummyfunction("IFERROR(MIN(FILTER(INDIRECT(B11 &amp; ""!B101:B115""), LEFT(INDIRECT(B11 &amp; ""!C101:C115""),1)=""S"")), ""0%"")"),"0%")</f>
        <v>0%</v>
      </c>
      <c r="I11" s="10" t="e">
        <f aca="false">IF(C11="","",MAX(0,ROUND(G11*(1+H11),2)))</f>
        <v>#REF!</v>
      </c>
      <c r="J11" s="11"/>
    </row>
    <row r="12" customFormat="false" ht="13.8" hidden="false" customHeight="false" outlineLevel="0" collapsed="false">
      <c r="A12" s="4" t="n">
        <v>10</v>
      </c>
      <c r="B12" s="12" t="n">
        <v>202400066</v>
      </c>
      <c r="C12" s="6" t="s">
        <v>20</v>
      </c>
      <c r="D12" s="7" t="n">
        <f aca="true">IFERROR(INDIRECT(B12 &amp; "!D13"), "0")</f>
        <v>0</v>
      </c>
      <c r="E12" s="7" t="n">
        <f aca="true">IFERROR(INDIRECT(B12 &amp; "!D27"), "0")</f>
        <v>2</v>
      </c>
      <c r="F12" s="7" t="n">
        <f aca="true">IFERROR(INDIRECT(B12 &amp; "!D64"), "0")</f>
        <v>3</v>
      </c>
      <c r="G12" s="8" t="n">
        <f aca="false">IF(C12="","",SUM(D12:F12))</f>
        <v>5</v>
      </c>
      <c r="H12" s="9" t="str">
        <f aca="false">IFERROR(__xludf.dummyfunction("IFERROR(MIN(FILTER(INDIRECT(B12 &amp; ""!B101:B115""), LEFT(INDIRECT(B12 &amp; ""!C101:C115""),1)=""S"")), ""0%"")"),"0%")</f>
        <v>0%</v>
      </c>
      <c r="I12" s="10" t="n">
        <f aca="false">IF(C12="","",MAX(0,ROUND(G12*(1+H12),2)))</f>
        <v>5</v>
      </c>
      <c r="J12" s="11"/>
    </row>
    <row r="13" customFormat="false" ht="13.8" hidden="false" customHeight="false" outlineLevel="0" collapsed="false">
      <c r="A13" s="4" t="n">
        <v>11</v>
      </c>
      <c r="B13" s="12" t="n">
        <v>202400155</v>
      </c>
      <c r="C13" s="6" t="s">
        <v>21</v>
      </c>
      <c r="D13" s="7" t="n">
        <f aca="true">IFERROR(INDIRECT(B13 &amp; "!D13"), "0")</f>
        <v>0</v>
      </c>
      <c r="E13" s="7" t="n">
        <f aca="true">IFERROR(INDIRECT(B13 &amp; "!D27"), "0")</f>
        <v>2</v>
      </c>
      <c r="F13" s="7" t="n">
        <f aca="true">IFERROR(INDIRECT(B13 &amp; "!D64"), "0")</f>
        <v>3</v>
      </c>
      <c r="G13" s="8" t="n">
        <f aca="false">IF(C13="","",SUM(D13:F13))</f>
        <v>5</v>
      </c>
      <c r="H13" s="9" t="str">
        <f aca="false">IFERROR(__xludf.dummyfunction("IFERROR(MIN(FILTER(INDIRECT(B13 &amp; ""!B101:B115""), LEFT(INDIRECT(B13 &amp; ""!C101:C115""),1)=""S"")), ""0%"")"),"0%")</f>
        <v>0%</v>
      </c>
      <c r="I13" s="10" t="n">
        <f aca="false">IF(C13="","",MAX(0,ROUND(G13*(1+H13),2)))</f>
        <v>5</v>
      </c>
      <c r="J13" s="11"/>
    </row>
    <row r="14" customFormat="false" ht="13.8" hidden="false" customHeight="false" outlineLevel="0" collapsed="false">
      <c r="A14" s="4" t="n">
        <v>12</v>
      </c>
      <c r="B14" s="12" t="n">
        <v>202400482</v>
      </c>
      <c r="C14" s="6" t="s">
        <v>22</v>
      </c>
      <c r="D14" s="7" t="n">
        <f aca="true">IFERROR(INDIRECT(B14 &amp; "!D13"), "0")</f>
        <v>0</v>
      </c>
      <c r="E14" s="7" t="n">
        <f aca="true">IFERROR(INDIRECT(B14 &amp; "!D27"), "0")</f>
        <v>0</v>
      </c>
      <c r="F14" s="7" t="n">
        <f aca="true">IFERROR(INDIRECT(B14 &amp; "!D64"), "0")</f>
        <v>0</v>
      </c>
      <c r="G14" s="8" t="n">
        <f aca="false">IF(C14="","",SUM(D14:F14))</f>
        <v>0</v>
      </c>
      <c r="H14" s="9" t="str">
        <f aca="false">IFERROR(__xludf.dummyfunction("IFERROR(MIN(FILTER(INDIRECT(B14 &amp; ""!B101:B115""), LEFT(INDIRECT(B14 &amp; ""!C101:C115""),1)=""S"")), ""0%"")"),"0%")</f>
        <v>0%</v>
      </c>
      <c r="I14" s="10" t="n">
        <f aca="false">IF(C14="","",MAX(0,ROUND(G14*(1+H14),2)))</f>
        <v>0</v>
      </c>
      <c r="J14" s="11"/>
    </row>
    <row r="15" customFormat="false" ht="13.8" hidden="false" customHeight="false" outlineLevel="0" collapsed="false">
      <c r="A15" s="4" t="n">
        <v>13</v>
      </c>
      <c r="B15" s="12" t="n">
        <v>202403338</v>
      </c>
      <c r="C15" s="6" t="s">
        <v>23</v>
      </c>
      <c r="D15" s="7" t="n">
        <f aca="true">IFERROR(INDIRECT(B15 &amp; "!D13"), "0")</f>
        <v>0</v>
      </c>
      <c r="E15" s="7" t="n">
        <f aca="true">IFERROR(INDIRECT(B15 &amp; "!D27"), "0")</f>
        <v>2</v>
      </c>
      <c r="F15" s="7" t="n">
        <f aca="true">IFERROR(INDIRECT(B15 &amp; "!D64"), "0")</f>
        <v>3</v>
      </c>
      <c r="G15" s="8" t="n">
        <f aca="false">IF(C15="","",SUM(D15:F15))</f>
        <v>5</v>
      </c>
      <c r="H15" s="9" t="str">
        <f aca="false">IFERROR(__xludf.dummyfunction("IFERROR(MIN(FILTER(INDIRECT(B15 &amp; ""!B101:B115""), LEFT(INDIRECT(B15 &amp; ""!C101:C115""),1)=""S"")), ""0%"")"),"0%")</f>
        <v>0%</v>
      </c>
      <c r="I15" s="10" t="n">
        <f aca="false">IF(C15="","",MAX(0,ROUND(G15*(1+H15),2)))</f>
        <v>5</v>
      </c>
      <c r="J15" s="11"/>
    </row>
    <row r="16" customFormat="false" ht="13.8" hidden="false" customHeight="false" outlineLevel="0" collapsed="false">
      <c r="A16" s="4" t="n">
        <v>14</v>
      </c>
      <c r="B16" s="12" t="n">
        <v>202404528</v>
      </c>
      <c r="C16" s="6" t="s">
        <v>24</v>
      </c>
      <c r="D16" s="7" t="n">
        <f aca="true">IFERROR(INDIRECT(B16 &amp; "!D13"), "0")</f>
        <v>0</v>
      </c>
      <c r="E16" s="7" t="n">
        <f aca="true">IFERROR(INDIRECT(B16 &amp; "!D27"), "0")</f>
        <v>0</v>
      </c>
      <c r="F16" s="7" t="n">
        <f aca="true">IFERROR(INDIRECT(B16 &amp; "!D64"), "0")</f>
        <v>3</v>
      </c>
      <c r="G16" s="8" t="n">
        <f aca="false">IF(C16="","",SUM(D16:F16))</f>
        <v>3</v>
      </c>
      <c r="H16" s="9" t="str">
        <f aca="false">IFERROR(__xludf.dummyfunction("IFERROR(MIN(FILTER(INDIRECT(B16 &amp; ""!B101:B115""), LEFT(INDIRECT(B16 &amp; ""!C101:C115""),1)=""S"")), ""0%"")"),"0%")</f>
        <v>0%</v>
      </c>
      <c r="I16" s="10" t="n">
        <f aca="false">IF(C16="","",MAX(0,ROUND(G16*(1+H16),2)))</f>
        <v>3</v>
      </c>
      <c r="J16" s="11"/>
    </row>
    <row r="17" customFormat="false" ht="13.8" hidden="false" customHeight="false" outlineLevel="0" collapsed="false">
      <c r="A17" s="4" t="n">
        <v>15</v>
      </c>
      <c r="B17" s="12" t="n">
        <v>202405048</v>
      </c>
      <c r="C17" s="6" t="s">
        <v>25</v>
      </c>
      <c r="D17" s="7" t="n">
        <f aca="true">IFERROR(INDIRECT(B17 &amp; "!D13"), "0")</f>
        <v>0</v>
      </c>
      <c r="E17" s="7" t="n">
        <f aca="true">IFERROR(INDIRECT(B17 &amp; "!D27"), "0")</f>
        <v>2</v>
      </c>
      <c r="F17" s="7" t="n">
        <f aca="true">IFERROR(INDIRECT(B17 &amp; "!D64"), "0")</f>
        <v>3</v>
      </c>
      <c r="G17" s="8" t="n">
        <f aca="false">IF(C17="","",SUM(D17:F17))</f>
        <v>5</v>
      </c>
      <c r="H17" s="9" t="str">
        <f aca="false">IFERROR(__xludf.dummyfunction("IFERROR(MIN(FILTER(INDIRECT(B17 &amp; ""!B101:B115""), LEFT(INDIRECT(B17 &amp; ""!C101:C115""),1)=""S"")), ""0%"")"),"0%")</f>
        <v>0%</v>
      </c>
      <c r="I17" s="10" t="n">
        <f aca="false">IF(C17="","",MAX(0,ROUND(G17*(1+H17),2)))</f>
        <v>5</v>
      </c>
      <c r="J17" s="11"/>
    </row>
    <row r="18" customFormat="false" ht="15.75" hidden="false" customHeight="true" outlineLevel="0" collapsed="false">
      <c r="A18" s="4" t="n">
        <v>16</v>
      </c>
      <c r="B18" s="12" t="n">
        <v>202405842</v>
      </c>
      <c r="C18" s="6" t="s">
        <v>26</v>
      </c>
      <c r="D18" s="7" t="e">
        <f aca="true">IFERROR(INDIRECT(B18 &amp; "!D13"), "0")</f>
        <v>#REF!</v>
      </c>
      <c r="E18" s="7" t="e">
        <f aca="true">IFERROR(INDIRECT(B18 &amp; "!D27"), "0")</f>
        <v>#REF!</v>
      </c>
      <c r="F18" s="7" t="e">
        <f aca="true">IFERROR(INDIRECT(B18 &amp; "!D64"), "0")</f>
        <v>#REF!</v>
      </c>
      <c r="G18" s="8" t="e">
        <f aca="false">IF(C18="","",SUM(D18:F18))</f>
        <v>#REF!</v>
      </c>
      <c r="H18" s="9" t="str">
        <f aca="false">IFERROR(__xludf.dummyfunction("IFERROR(MIN(FILTER(INDIRECT(B18 &amp; ""!B101:B115""), LEFT(INDIRECT(B18 &amp; ""!C101:C115""),1)=""S"")), ""0%"")"),"0%")</f>
        <v>0%</v>
      </c>
      <c r="I18" s="10" t="e">
        <f aca="false">IF(C18="","",MAX(0,ROUND(G18*(1+H18),2)))</f>
        <v>#REF!</v>
      </c>
      <c r="J18" s="11"/>
    </row>
    <row r="19" customFormat="false" ht="15.75" hidden="false" customHeight="true" outlineLevel="0" collapsed="false">
      <c r="A19" s="4" t="n">
        <v>17</v>
      </c>
      <c r="B19" s="12" t="n">
        <v>202406816</v>
      </c>
      <c r="C19" s="6" t="s">
        <v>27</v>
      </c>
      <c r="D19" s="7" t="n">
        <f aca="true">IFERROR(INDIRECT(B19 &amp; "!D13"), "0")</f>
        <v>0</v>
      </c>
      <c r="E19" s="7" t="n">
        <f aca="true">IFERROR(INDIRECT(B19 &amp; "!D27"), "0")</f>
        <v>1</v>
      </c>
      <c r="F19" s="7" t="n">
        <f aca="true">IFERROR(INDIRECT(B19 &amp; "!D64"), "0")</f>
        <v>3</v>
      </c>
      <c r="G19" s="8" t="n">
        <f aca="false">IF(C19="","",SUM(D19:F19))</f>
        <v>4</v>
      </c>
      <c r="H19" s="9" t="str">
        <f aca="false">IFERROR(__xludf.dummyfunction("IFERROR(MIN(FILTER(INDIRECT(B19 &amp; ""!B101:B115""), LEFT(INDIRECT(B19 &amp; ""!C101:C115""),1)=""S"")), ""0%"")"),"0%")</f>
        <v>0%</v>
      </c>
      <c r="I19" s="10" t="n">
        <f aca="false">IF(C19="","",MAX(0,ROUND(G19*(1+H19),2)))</f>
        <v>4</v>
      </c>
      <c r="J19" s="11"/>
    </row>
    <row r="20" customFormat="false" ht="15.75" hidden="false" customHeight="true" outlineLevel="0" collapsed="false">
      <c r="A20" s="4" t="n">
        <v>18</v>
      </c>
      <c r="B20" s="5" t="n">
        <v>202407699</v>
      </c>
      <c r="C20" s="13" t="s">
        <v>28</v>
      </c>
      <c r="D20" s="7" t="n">
        <f aca="true">IFERROR(INDIRECT(B20 &amp; "!D13"), "0")</f>
        <v>0</v>
      </c>
      <c r="E20" s="7" t="n">
        <f aca="true">IFERROR(INDIRECT(B20 &amp; "!D27"), "0")</f>
        <v>0</v>
      </c>
      <c r="F20" s="7" t="n">
        <f aca="true">IFERROR(INDIRECT(B20 &amp; "!D64"), "0")</f>
        <v>0</v>
      </c>
      <c r="G20" s="8" t="n">
        <f aca="false">IF(C20="","",SUM(D20:F20))</f>
        <v>0</v>
      </c>
      <c r="H20" s="9" t="str">
        <f aca="false">IFERROR(__xludf.dummyfunction("IFERROR(MIN(FILTER(INDIRECT(B20 &amp; ""!B101:B115""), LEFT(INDIRECT(B20 &amp; ""!C101:C115""),1)=""S"")), ""0%"")"),"0%")</f>
        <v>0%</v>
      </c>
      <c r="I20" s="10" t="n">
        <f aca="false">IF(C20="","",MAX(0,ROUND(G20*(1+H20),2)))</f>
        <v>0</v>
      </c>
      <c r="J20" s="11"/>
    </row>
    <row r="21" customFormat="false" ht="15.75" hidden="false" customHeight="true" outlineLevel="0" collapsed="false">
      <c r="A21" s="4" t="n">
        <v>19</v>
      </c>
      <c r="B21" s="12" t="n">
        <v>202501349</v>
      </c>
      <c r="C21" s="6" t="s">
        <v>29</v>
      </c>
      <c r="D21" s="7" t="n">
        <f aca="true">IFERROR(INDIRECT(B21 &amp; "!D13"), "0")</f>
        <v>0</v>
      </c>
      <c r="E21" s="7" t="n">
        <f aca="true">IFERROR(INDIRECT(B21 &amp; "!D27"), "0")</f>
        <v>2</v>
      </c>
      <c r="F21" s="7" t="n">
        <f aca="true">IFERROR(INDIRECT(B21 &amp; "!D64"), "0")</f>
        <v>3</v>
      </c>
      <c r="G21" s="8" t="n">
        <f aca="false">IF(C21="","",SUM(D21:F21))</f>
        <v>5</v>
      </c>
      <c r="H21" s="9" t="str">
        <f aca="false">IFERROR(__xludf.dummyfunction("IFERROR(MIN(FILTER(INDIRECT(B21 &amp; ""!B101:B115""), LEFT(INDIRECT(B21 &amp; ""!C101:C115""),1)=""S"")), ""0%"")"),"0%")</f>
        <v>0%</v>
      </c>
      <c r="I21" s="10" t="n">
        <f aca="false">IF(C21="","",MAX(0,ROUND(G21*(1+H21),2)))</f>
        <v>5</v>
      </c>
      <c r="J21" s="11"/>
    </row>
    <row r="22" customFormat="false" ht="15.75" hidden="false" customHeight="true" outlineLevel="0" collapsed="false">
      <c r="A22" s="4" t="n">
        <v>20</v>
      </c>
      <c r="B22" s="12" t="n">
        <v>202501470</v>
      </c>
      <c r="C22" s="6" t="s">
        <v>30</v>
      </c>
      <c r="D22" s="7" t="n">
        <f aca="true">IFERROR(INDIRECT(B22 &amp; "!D13"), "0")</f>
        <v>0</v>
      </c>
      <c r="E22" s="7" t="n">
        <f aca="true">IFERROR(INDIRECT(B22 &amp; "!D27"), "0")</f>
        <v>2</v>
      </c>
      <c r="F22" s="7" t="n">
        <f aca="true">IFERROR(INDIRECT(B22 &amp; "!D64"), "0")</f>
        <v>3</v>
      </c>
      <c r="G22" s="8" t="n">
        <f aca="false">IF(C22="","",SUM(D22:F22))</f>
        <v>5</v>
      </c>
      <c r="H22" s="9" t="str">
        <f aca="false">IFERROR(__xludf.dummyfunction("IFERROR(MIN(FILTER(INDIRECT(B22 &amp; ""!B101:B115""), LEFT(INDIRECT(B22 &amp; ""!C101:C115""),1)=""S"")), ""0%"")"),"0%")</f>
        <v>0%</v>
      </c>
      <c r="I22" s="10" t="n">
        <f aca="false">IF(C22="","",MAX(0,ROUND(G22*(1+H22),2)))</f>
        <v>5</v>
      </c>
      <c r="J22" s="11"/>
    </row>
    <row r="23" customFormat="false" ht="15.75" hidden="false" customHeight="true" outlineLevel="0" collapsed="false">
      <c r="A23" s="4" t="n">
        <v>21</v>
      </c>
      <c r="B23" s="12" t="n">
        <v>202501625</v>
      </c>
      <c r="C23" s="6" t="s">
        <v>31</v>
      </c>
      <c r="D23" s="7" t="n">
        <f aca="true">IFERROR(INDIRECT(B23 &amp; "!D13"), "0")</f>
        <v>0</v>
      </c>
      <c r="E23" s="7" t="n">
        <f aca="true">IFERROR(INDIRECT(B23 &amp; "!D27"), "0")</f>
        <v>2</v>
      </c>
      <c r="F23" s="7" t="n">
        <f aca="true">IFERROR(INDIRECT(B23 &amp; "!D64"), "0")</f>
        <v>3</v>
      </c>
      <c r="G23" s="8" t="n">
        <f aca="false">IF(C23="","",SUM(D23:F23))</f>
        <v>5</v>
      </c>
      <c r="H23" s="9" t="str">
        <f aca="false">IFERROR(__xludf.dummyfunction("IFERROR(MIN(FILTER(INDIRECT(B23 &amp; ""!B101:B115""), LEFT(INDIRECT(B23 &amp; ""!C101:C115""),1)=""S"")), ""0%"")"),"0%")</f>
        <v>0%</v>
      </c>
      <c r="I23" s="10" t="n">
        <f aca="false">IF(C23="","",MAX(0,ROUND(G23*(1+H23),2)))</f>
        <v>5</v>
      </c>
      <c r="J23" s="11"/>
    </row>
    <row r="24" customFormat="false" ht="15.75" hidden="false" customHeight="true" outlineLevel="0" collapsed="false">
      <c r="A24" s="4" t="n">
        <v>22</v>
      </c>
      <c r="B24" s="12" t="n">
        <v>202502481</v>
      </c>
      <c r="C24" s="6" t="s">
        <v>32</v>
      </c>
      <c r="D24" s="7" t="n">
        <f aca="true">IFERROR(INDIRECT(B24 &amp; "!D13"), "0")</f>
        <v>0</v>
      </c>
      <c r="E24" s="7" t="n">
        <f aca="true">IFERROR(INDIRECT(B24 &amp; "!D27"), "0")</f>
        <v>0</v>
      </c>
      <c r="F24" s="7" t="n">
        <f aca="true">IFERROR(INDIRECT(B24 &amp; "!D64"), "0")</f>
        <v>0</v>
      </c>
      <c r="G24" s="8" t="n">
        <f aca="false">IF(C24="","",SUM(D24:F24))</f>
        <v>0</v>
      </c>
      <c r="H24" s="9" t="str">
        <f aca="false">IFERROR(__xludf.dummyfunction("IFERROR(MIN(FILTER(INDIRECT(B24 &amp; ""!B101:B115""), LEFT(INDIRECT(B24 &amp; ""!C101:C115""),1)=""S"")), ""0%"")"),"0%")</f>
        <v>0%</v>
      </c>
      <c r="I24" s="10" t="n">
        <f aca="false">IF(C24="","",MAX(0,ROUND(G24*(1+H24),2)))</f>
        <v>0</v>
      </c>
      <c r="J24" s="11"/>
    </row>
    <row r="25" customFormat="false" ht="15.75" hidden="false" customHeight="true" outlineLevel="0" collapsed="false">
      <c r="A25" s="4" t="n">
        <v>23</v>
      </c>
      <c r="B25" s="12" t="n">
        <v>202505830</v>
      </c>
      <c r="C25" s="6" t="s">
        <v>33</v>
      </c>
      <c r="D25" s="7" t="n">
        <f aca="true">IFERROR(INDIRECT(B25 &amp; "!D13"), "0")</f>
        <v>0</v>
      </c>
      <c r="E25" s="7" t="n">
        <f aca="true">IFERROR(INDIRECT(B25 &amp; "!D27"), "0")</f>
        <v>2</v>
      </c>
      <c r="F25" s="7" t="n">
        <f aca="true">IFERROR(INDIRECT(B25 &amp; "!D64"), "0")</f>
        <v>3</v>
      </c>
      <c r="G25" s="8" t="n">
        <f aca="false">IF(C25="","",SUM(D25:F25))</f>
        <v>5</v>
      </c>
      <c r="H25" s="9" t="str">
        <f aca="false">IFERROR(__xludf.dummyfunction("IFERROR(MIN(FILTER(INDIRECT(B25 &amp; ""!B101:B115""), LEFT(INDIRECT(B25 &amp; ""!C101:C115""),1)=""S"")), ""0%"")"),"0%")</f>
        <v>0%</v>
      </c>
      <c r="I25" s="10" t="n">
        <f aca="false">IF(C25="","",MAX(0,ROUND(G25*(1+H25),2)))</f>
        <v>5</v>
      </c>
      <c r="J25" s="11"/>
    </row>
    <row r="26" customFormat="false" ht="15.75" hidden="false" customHeight="true" outlineLevel="0" collapsed="false">
      <c r="A26" s="4" t="n">
        <v>24</v>
      </c>
      <c r="B26" s="12" t="n">
        <v>202507586</v>
      </c>
      <c r="C26" s="6" t="s">
        <v>34</v>
      </c>
      <c r="D26" s="7" t="n">
        <f aca="true">IFERROR(INDIRECT(B26 &amp; "!D13"), "0")</f>
        <v>0</v>
      </c>
      <c r="E26" s="7" t="n">
        <f aca="true">IFERROR(INDIRECT(B26 &amp; "!D27"), "0")</f>
        <v>2</v>
      </c>
      <c r="F26" s="7" t="n">
        <f aca="true">IFERROR(INDIRECT(B26 &amp; "!D64"), "0")</f>
        <v>3</v>
      </c>
      <c r="G26" s="8" t="n">
        <f aca="false">IF(C26="","",SUM(D26:F26))</f>
        <v>5</v>
      </c>
      <c r="H26" s="9" t="str">
        <f aca="false">IFERROR(__xludf.dummyfunction("IFERROR(MIN(FILTER(INDIRECT(B26 &amp; ""!B101:B115""), LEFT(INDIRECT(B26 &amp; ""!C101:C115""),1)=""S"")), ""0%"")"),"0%")</f>
        <v>0%</v>
      </c>
      <c r="I26" s="10" t="n">
        <f aca="false">IF(C26="","",MAX(0,ROUND(G26*(1+H26),2)))</f>
        <v>5</v>
      </c>
      <c r="J26" s="11"/>
    </row>
    <row r="27" customFormat="false" ht="15.75" hidden="false" customHeight="true" outlineLevel="0" collapsed="false"/>
    <row r="28" customFormat="false" ht="15.75" hidden="false" customHeight="true" outlineLevel="0" collapsed="false">
      <c r="C28" s="14" t="s">
        <v>35</v>
      </c>
      <c r="D28" s="15" t="n">
        <f aca="false">COUNT(I3:I26)</f>
        <v>16</v>
      </c>
    </row>
    <row r="29" customFormat="false" ht="15.75" hidden="false" customHeight="true" outlineLevel="0" collapsed="false">
      <c r="C29" s="14" t="s">
        <v>36</v>
      </c>
      <c r="D29" s="16" t="n">
        <f aca="false">IFERROR(AVERAGE(I3:I26),0)</f>
        <v>0</v>
      </c>
    </row>
    <row r="30" customFormat="false" ht="15.75" hidden="false" customHeight="true" outlineLevel="0" collapsed="false">
      <c r="C30" s="14" t="s">
        <v>37</v>
      </c>
      <c r="D30" s="16" t="n">
        <f aca="false">IFERROR(MAX(I3:I26),0)</f>
        <v>0</v>
      </c>
    </row>
    <row r="31" customFormat="false" ht="15.75" hidden="false" customHeight="true" outlineLevel="0" collapsed="false">
      <c r="C31" s="14" t="s">
        <v>38</v>
      </c>
      <c r="D31" s="16" t="n">
        <f aca="false">IFERROR(MIN(I3:I26),0)</f>
        <v>0</v>
      </c>
    </row>
    <row r="32" customFormat="false" ht="15.75" hidden="false" customHeight="true" outlineLevel="0" collapsed="false">
      <c r="C32" s="14" t="s">
        <v>39</v>
      </c>
      <c r="D32" s="15" t="n">
        <f aca="false">COUNTIF(I3:I26,"&gt;=61")</f>
        <v>0</v>
      </c>
    </row>
    <row r="33" customFormat="false" ht="15.75" hidden="false" customHeight="true" outlineLevel="0" collapsed="false">
      <c r="C33" s="14" t="s">
        <v>40</v>
      </c>
      <c r="D33" s="15" t="n">
        <f aca="false">COUNT(I3:I26)-COUNTIF(I3:I26,"&gt;=61")</f>
        <v>16</v>
      </c>
    </row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</sheetData>
  <autoFilter ref="A2:Z26">
    <sortState ref="A3:Z26">
      <sortCondition ref="A3:A26"/>
    </sortState>
  </autoFilter>
  <mergeCells count="1">
    <mergeCell ref="A1:J1"/>
  </mergeCells>
  <conditionalFormatting sqref="I3:I26">
    <cfRule type="colorScale" priority="2">
      <colorScale>
        <cfvo type="formula" val="0"/>
        <cfvo type="formula" val="50"/>
        <cfvo type="formula" val="100"/>
        <color rgb="FFFF0000"/>
        <color rgb="FFFFD666"/>
        <color rgb="FF57BB8A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86"/>
  <sheetViews>
    <sheetView showFormulas="false" showGridLines="false" showRowColHeaders="true" showZeros="true" rightToLeft="false" tabSelected="false" showOutlineSymbols="true" defaultGridColor="true" view="normal" topLeftCell="A49" colorId="64" zoomScale="100" zoomScaleNormal="100" zoomScalePageLayoutView="100" workbookViewId="0">
      <selection pane="topLeft" activeCell="D74" activeCellId="0" sqref="D74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87.43"/>
    <col collapsed="false" customWidth="true" hidden="false" outlineLevel="0" max="2" min="2" style="1" width="11"/>
    <col collapsed="false" customWidth="true" hidden="false" outlineLevel="0" max="3" min="3" style="1" width="34"/>
    <col collapsed="false" customWidth="true" hidden="false" outlineLevel="0" max="4" min="4" style="1" width="11"/>
    <col collapsed="false" customWidth="true" hidden="false" outlineLevel="0" max="26" min="5" style="1" width="8.71"/>
  </cols>
  <sheetData>
    <row r="1" customFormat="false" ht="13.8" hidden="false" customHeight="false" outlineLevel="0" collapsed="false">
      <c r="A1" s="17" t="s">
        <v>41</v>
      </c>
      <c r="B1" s="18"/>
      <c r="C1" s="18"/>
      <c r="D1" s="18"/>
    </row>
    <row r="2" customFormat="false" ht="13.8" hidden="false" customHeight="false" outlineLevel="0" collapsed="false">
      <c r="A2" s="17" t="s">
        <v>42</v>
      </c>
      <c r="B2" s="18"/>
      <c r="C2" s="18"/>
      <c r="D2" s="18"/>
    </row>
    <row r="3" customFormat="false" ht="13.8" hidden="false" customHeight="false" outlineLevel="0" collapsed="false">
      <c r="A3" s="17" t="s">
        <v>43</v>
      </c>
      <c r="B3" s="18"/>
      <c r="C3" s="18"/>
      <c r="D3" s="18"/>
    </row>
    <row r="4" customFormat="false" ht="13.8" hidden="false" customHeight="false" outlineLevel="0" collapsed="false">
      <c r="A4" s="17" t="s">
        <v>44</v>
      </c>
      <c r="B4" s="18"/>
      <c r="C4" s="18"/>
      <c r="D4" s="18"/>
    </row>
    <row r="5" customFormat="false" ht="13.8" hidden="false" customHeight="false" outlineLevel="0" collapsed="false">
      <c r="A5" s="17" t="s">
        <v>45</v>
      </c>
      <c r="B5" s="18"/>
      <c r="C5" s="18"/>
      <c r="D5" s="18"/>
    </row>
    <row r="6" customFormat="false" ht="13.8" hidden="false" customHeight="false" outlineLevel="0" collapsed="false">
      <c r="A6" s="17" t="s">
        <v>46</v>
      </c>
      <c r="B6" s="18"/>
      <c r="C6" s="18"/>
      <c r="D6" s="18"/>
    </row>
    <row r="7" customFormat="false" ht="13.8" hidden="false" customHeight="false" outlineLevel="0" collapsed="false">
      <c r="A7" s="17"/>
      <c r="B7" s="18"/>
      <c r="C7" s="18"/>
      <c r="D7" s="18"/>
    </row>
    <row r="8" customFormat="false" ht="13.8" hidden="false" customHeight="false" outlineLevel="0" collapsed="false">
      <c r="A8" s="19" t="s">
        <v>47</v>
      </c>
      <c r="B8" s="19"/>
      <c r="C8" s="19"/>
      <c r="D8" s="19"/>
    </row>
    <row r="9" customFormat="false" ht="13.8" hidden="false" customHeight="false" outlineLevel="0" collapsed="false">
      <c r="A9" s="20"/>
      <c r="B9" s="20"/>
      <c r="C9" s="20"/>
      <c r="D9" s="20"/>
    </row>
    <row r="10" customFormat="false" ht="13.8" hidden="false" customHeight="false" outlineLevel="0" collapsed="false">
      <c r="A10" s="21" t="s">
        <v>48</v>
      </c>
      <c r="B10" s="21"/>
      <c r="C10" s="22"/>
      <c r="D10" s="22"/>
    </row>
    <row r="11" customFormat="false" ht="13.8" hidden="false" customHeight="false" outlineLevel="0" collapsed="false">
      <c r="A11" s="21" t="s">
        <v>49</v>
      </c>
      <c r="B11" s="21"/>
      <c r="C11" s="23" t="e">
        <f aca="false">VLOOKUP(C12, Consolidado!$B$3:$C$26, 2, 0)</f>
        <v>#N/A</v>
      </c>
      <c r="D11" s="23"/>
    </row>
    <row r="12" customFormat="false" ht="13.8" hidden="false" customHeight="false" outlineLevel="0" collapsed="false">
      <c r="A12" s="21" t="s">
        <v>50</v>
      </c>
      <c r="B12" s="21"/>
      <c r="C12" s="23"/>
      <c r="D12" s="23"/>
    </row>
    <row r="13" customFormat="false" ht="13.8" hidden="false" customHeight="false" outlineLevel="0" collapsed="false">
      <c r="A13" s="18"/>
      <c r="B13" s="18"/>
      <c r="C13" s="18"/>
      <c r="D13" s="18"/>
    </row>
    <row r="14" customFormat="false" ht="19.5" hidden="false" customHeight="true" outlineLevel="0" collapsed="false">
      <c r="A14" s="24" t="s">
        <v>51</v>
      </c>
      <c r="B14" s="24" t="s">
        <v>52</v>
      </c>
      <c r="C14" s="24" t="s">
        <v>53</v>
      </c>
      <c r="D14" s="24" t="s">
        <v>54</v>
      </c>
    </row>
    <row r="15" customFormat="false" ht="19.5" hidden="false" customHeight="true" outlineLevel="0" collapsed="false">
      <c r="A15" s="25" t="s">
        <v>55</v>
      </c>
      <c r="B15" s="26" t="n">
        <f aca="false">B16+B21+B25</f>
        <v>20</v>
      </c>
      <c r="C15" s="25"/>
      <c r="D15" s="27" t="str">
        <f aca="false">IF(D16+D21+D25=0,"",D16+D21+D25)</f>
        <v/>
      </c>
    </row>
    <row r="16" customFormat="false" ht="18" hidden="false" customHeight="true" outlineLevel="0" collapsed="false">
      <c r="A16" s="28" t="s">
        <v>56</v>
      </c>
      <c r="B16" s="29" t="n">
        <f aca="false">SUM(B17:B20)</f>
        <v>8</v>
      </c>
      <c r="C16" s="28"/>
      <c r="D16" s="30" t="n">
        <f aca="false">SUM(D17:D20)</f>
        <v>0</v>
      </c>
    </row>
    <row r="17" customFormat="false" ht="15" hidden="false" customHeight="true" outlineLevel="0" collapsed="false">
      <c r="A17" s="31" t="s">
        <v>57</v>
      </c>
      <c r="B17" s="32" t="n">
        <v>2</v>
      </c>
      <c r="C17" s="31"/>
      <c r="D17" s="33"/>
    </row>
    <row r="18" customFormat="false" ht="15" hidden="false" customHeight="true" outlineLevel="0" collapsed="false">
      <c r="A18" s="31" t="s">
        <v>58</v>
      </c>
      <c r="B18" s="32" t="n">
        <v>2</v>
      </c>
      <c r="C18" s="31"/>
      <c r="D18" s="33"/>
    </row>
    <row r="19" customFormat="false" ht="15" hidden="false" customHeight="true" outlineLevel="0" collapsed="false">
      <c r="A19" s="31" t="s">
        <v>59</v>
      </c>
      <c r="B19" s="32" t="n">
        <v>2</v>
      </c>
      <c r="C19" s="31"/>
      <c r="D19" s="33"/>
    </row>
    <row r="20" customFormat="false" ht="15" hidden="false" customHeight="true" outlineLevel="0" collapsed="false">
      <c r="A20" s="31" t="s">
        <v>60</v>
      </c>
      <c r="B20" s="32" t="n">
        <v>2</v>
      </c>
      <c r="C20" s="31"/>
      <c r="D20" s="33"/>
    </row>
    <row r="21" customFormat="false" ht="18" hidden="false" customHeight="true" outlineLevel="0" collapsed="false">
      <c r="A21" s="28" t="s">
        <v>61</v>
      </c>
      <c r="B21" s="29" t="n">
        <f aca="false">SUM(B22:B24)</f>
        <v>6</v>
      </c>
      <c r="C21" s="28"/>
      <c r="D21" s="30" t="n">
        <f aca="false">SUM(D22:D24)</f>
        <v>0</v>
      </c>
    </row>
    <row r="22" customFormat="false" ht="15" hidden="false" customHeight="true" outlineLevel="0" collapsed="false">
      <c r="A22" s="31" t="s">
        <v>62</v>
      </c>
      <c r="B22" s="32" t="n">
        <v>2</v>
      </c>
      <c r="C22" s="31"/>
      <c r="D22" s="33"/>
    </row>
    <row r="23" customFormat="false" ht="15" hidden="false" customHeight="true" outlineLevel="0" collapsed="false">
      <c r="A23" s="31" t="s">
        <v>63</v>
      </c>
      <c r="B23" s="32" t="n">
        <v>2</v>
      </c>
      <c r="C23" s="31"/>
      <c r="D23" s="33"/>
    </row>
    <row r="24" customFormat="false" ht="15" hidden="false" customHeight="true" outlineLevel="0" collapsed="false">
      <c r="A24" s="31" t="s">
        <v>64</v>
      </c>
      <c r="B24" s="32" t="n">
        <v>2</v>
      </c>
      <c r="C24" s="31"/>
      <c r="D24" s="33"/>
    </row>
    <row r="25" customFormat="false" ht="18" hidden="false" customHeight="true" outlineLevel="0" collapsed="false">
      <c r="A25" s="28" t="s">
        <v>65</v>
      </c>
      <c r="B25" s="29" t="n">
        <f aca="false">SUM(B26:B28)</f>
        <v>6</v>
      </c>
      <c r="C25" s="28"/>
      <c r="D25" s="30" t="n">
        <f aca="false">SUM(D26:D28)</f>
        <v>0</v>
      </c>
    </row>
    <row r="26" customFormat="false" ht="16.5" hidden="false" customHeight="true" outlineLevel="0" collapsed="false">
      <c r="A26" s="31" t="s">
        <v>66</v>
      </c>
      <c r="B26" s="32" t="n">
        <v>2</v>
      </c>
      <c r="C26" s="31"/>
      <c r="D26" s="33"/>
    </row>
    <row r="27" customFormat="false" ht="15" hidden="false" customHeight="true" outlineLevel="0" collapsed="false">
      <c r="A27" s="31" t="s">
        <v>67</v>
      </c>
      <c r="B27" s="32" t="n">
        <v>2</v>
      </c>
      <c r="C27" s="31"/>
      <c r="D27" s="33"/>
    </row>
    <row r="28" customFormat="false" ht="15" hidden="false" customHeight="true" outlineLevel="0" collapsed="false">
      <c r="A28" s="31" t="s">
        <v>68</v>
      </c>
      <c r="B28" s="32" t="n">
        <v>2</v>
      </c>
      <c r="C28" s="31"/>
      <c r="D28" s="33"/>
    </row>
    <row r="29" customFormat="false" ht="19.5" hidden="false" customHeight="true" outlineLevel="0" collapsed="false">
      <c r="A29" s="25" t="s">
        <v>69</v>
      </c>
      <c r="B29" s="26" t="n">
        <f aca="false">B30+B34+B40+B44+B49+B53+B58+B63</f>
        <v>55</v>
      </c>
      <c r="C29" s="25"/>
      <c r="D29" s="27" t="str">
        <f aca="false">IF(D30+D34+D40+D44+D49+D53+D58+D63=0,"",D30+D34+D40+D44+D49+D53+D58+D63)</f>
        <v/>
      </c>
    </row>
    <row r="30" customFormat="false" ht="18" hidden="false" customHeight="true" outlineLevel="0" collapsed="false">
      <c r="A30" s="28" t="s">
        <v>70</v>
      </c>
      <c r="B30" s="29" t="n">
        <f aca="false">SUM(B31:B33)</f>
        <v>5</v>
      </c>
      <c r="C30" s="28"/>
      <c r="D30" s="30" t="n">
        <f aca="false">SUM(D31:D33)</f>
        <v>0</v>
      </c>
    </row>
    <row r="31" customFormat="false" ht="15" hidden="false" customHeight="true" outlineLevel="0" collapsed="false">
      <c r="A31" s="31" t="s">
        <v>71</v>
      </c>
      <c r="B31" s="32" t="n">
        <v>2</v>
      </c>
      <c r="C31" s="31"/>
      <c r="D31" s="33"/>
    </row>
    <row r="32" customFormat="false" ht="15" hidden="false" customHeight="true" outlineLevel="0" collapsed="false">
      <c r="A32" s="31" t="s">
        <v>72</v>
      </c>
      <c r="B32" s="32" t="n">
        <v>2</v>
      </c>
      <c r="C32" s="31"/>
      <c r="D32" s="33"/>
    </row>
    <row r="33" customFormat="false" ht="15" hidden="false" customHeight="true" outlineLevel="0" collapsed="false">
      <c r="A33" s="31" t="s">
        <v>73</v>
      </c>
      <c r="B33" s="32" t="n">
        <v>1</v>
      </c>
      <c r="C33" s="31"/>
      <c r="D33" s="33"/>
    </row>
    <row r="34" customFormat="false" ht="18" hidden="false" customHeight="true" outlineLevel="0" collapsed="false">
      <c r="A34" s="28" t="s">
        <v>74</v>
      </c>
      <c r="B34" s="29" t="n">
        <f aca="false">SUM(B35:B39)</f>
        <v>10</v>
      </c>
      <c r="C34" s="28"/>
      <c r="D34" s="30" t="n">
        <f aca="false">SUM(D35:D39)</f>
        <v>0</v>
      </c>
    </row>
    <row r="35" customFormat="false" ht="15" hidden="false" customHeight="true" outlineLevel="0" collapsed="false">
      <c r="A35" s="31" t="s">
        <v>75</v>
      </c>
      <c r="B35" s="32" t="n">
        <v>3</v>
      </c>
      <c r="C35" s="31"/>
      <c r="D35" s="33"/>
    </row>
    <row r="36" customFormat="false" ht="15" hidden="false" customHeight="true" outlineLevel="0" collapsed="false">
      <c r="A36" s="31" t="s">
        <v>76</v>
      </c>
      <c r="B36" s="32" t="n">
        <v>2</v>
      </c>
      <c r="C36" s="31"/>
      <c r="D36" s="33"/>
    </row>
    <row r="37" customFormat="false" ht="15" hidden="false" customHeight="true" outlineLevel="0" collapsed="false">
      <c r="A37" s="31" t="s">
        <v>77</v>
      </c>
      <c r="B37" s="32" t="n">
        <v>2</v>
      </c>
      <c r="C37" s="31"/>
      <c r="D37" s="33"/>
    </row>
    <row r="38" customFormat="false" ht="15" hidden="false" customHeight="true" outlineLevel="0" collapsed="false">
      <c r="A38" s="31" t="s">
        <v>78</v>
      </c>
      <c r="B38" s="32" t="n">
        <v>1</v>
      </c>
      <c r="C38" s="31"/>
      <c r="D38" s="33"/>
    </row>
    <row r="39" customFormat="false" ht="15" hidden="false" customHeight="true" outlineLevel="0" collapsed="false">
      <c r="A39" s="31" t="s">
        <v>79</v>
      </c>
      <c r="B39" s="32" t="n">
        <v>2</v>
      </c>
      <c r="C39" s="31"/>
      <c r="D39" s="33"/>
    </row>
    <row r="40" customFormat="false" ht="18" hidden="false" customHeight="true" outlineLevel="0" collapsed="false">
      <c r="A40" s="28" t="s">
        <v>80</v>
      </c>
      <c r="B40" s="29" t="n">
        <f aca="false">SUM(B41:B43)</f>
        <v>6</v>
      </c>
      <c r="C40" s="28"/>
      <c r="D40" s="30" t="n">
        <f aca="false">SUM(D41:D43)</f>
        <v>0</v>
      </c>
    </row>
    <row r="41" customFormat="false" ht="15" hidden="false" customHeight="true" outlineLevel="0" collapsed="false">
      <c r="A41" s="31" t="s">
        <v>81</v>
      </c>
      <c r="B41" s="32" t="n">
        <v>2</v>
      </c>
      <c r="C41" s="31"/>
      <c r="D41" s="33"/>
    </row>
    <row r="42" customFormat="false" ht="15" hidden="false" customHeight="true" outlineLevel="0" collapsed="false">
      <c r="A42" s="31" t="s">
        <v>82</v>
      </c>
      <c r="B42" s="32" t="n">
        <v>2</v>
      </c>
      <c r="C42" s="31"/>
      <c r="D42" s="33"/>
    </row>
    <row r="43" customFormat="false" ht="15" hidden="false" customHeight="true" outlineLevel="0" collapsed="false">
      <c r="A43" s="31" t="s">
        <v>83</v>
      </c>
      <c r="B43" s="32" t="n">
        <v>2</v>
      </c>
      <c r="C43" s="31"/>
      <c r="D43" s="33"/>
    </row>
    <row r="44" customFormat="false" ht="18" hidden="false" customHeight="true" outlineLevel="0" collapsed="false">
      <c r="A44" s="28" t="s">
        <v>84</v>
      </c>
      <c r="B44" s="29" t="n">
        <f aca="false">SUM(B45:B48)</f>
        <v>8</v>
      </c>
      <c r="C44" s="28"/>
      <c r="D44" s="30" t="n">
        <f aca="false">SUM(D45:D48)</f>
        <v>0</v>
      </c>
    </row>
    <row r="45" customFormat="false" ht="15" hidden="false" customHeight="true" outlineLevel="0" collapsed="false">
      <c r="A45" s="31" t="s">
        <v>85</v>
      </c>
      <c r="B45" s="32" t="n">
        <v>2</v>
      </c>
      <c r="C45" s="31"/>
      <c r="D45" s="33"/>
    </row>
    <row r="46" customFormat="false" ht="15" hidden="false" customHeight="true" outlineLevel="0" collapsed="false">
      <c r="A46" s="31" t="s">
        <v>86</v>
      </c>
      <c r="B46" s="32" t="n">
        <v>3</v>
      </c>
      <c r="C46" s="31"/>
      <c r="D46" s="33"/>
    </row>
    <row r="47" customFormat="false" ht="15" hidden="false" customHeight="true" outlineLevel="0" collapsed="false">
      <c r="A47" s="31" t="s">
        <v>87</v>
      </c>
      <c r="B47" s="32" t="n">
        <v>2</v>
      </c>
      <c r="C47" s="31"/>
      <c r="D47" s="33"/>
    </row>
    <row r="48" customFormat="false" ht="15" hidden="false" customHeight="true" outlineLevel="0" collapsed="false">
      <c r="A48" s="31" t="s">
        <v>88</v>
      </c>
      <c r="B48" s="32" t="n">
        <v>1</v>
      </c>
      <c r="C48" s="31"/>
      <c r="D48" s="33"/>
    </row>
    <row r="49" customFormat="false" ht="18" hidden="false" customHeight="true" outlineLevel="0" collapsed="false">
      <c r="A49" s="28" t="s">
        <v>89</v>
      </c>
      <c r="B49" s="29" t="n">
        <f aca="false">SUM(B50:B52)</f>
        <v>6</v>
      </c>
      <c r="C49" s="28"/>
      <c r="D49" s="30" t="n">
        <f aca="false">SUM(D50:D52)</f>
        <v>0</v>
      </c>
    </row>
    <row r="50" customFormat="false" ht="15" hidden="false" customHeight="true" outlineLevel="0" collapsed="false">
      <c r="A50" s="31" t="s">
        <v>90</v>
      </c>
      <c r="B50" s="32" t="n">
        <v>2</v>
      </c>
      <c r="C50" s="31"/>
      <c r="D50" s="33"/>
    </row>
    <row r="51" customFormat="false" ht="15" hidden="false" customHeight="true" outlineLevel="0" collapsed="false">
      <c r="A51" s="31" t="s">
        <v>91</v>
      </c>
      <c r="B51" s="32" t="n">
        <v>2</v>
      </c>
      <c r="C51" s="31"/>
      <c r="D51" s="33"/>
    </row>
    <row r="52" customFormat="false" ht="15" hidden="false" customHeight="true" outlineLevel="0" collapsed="false">
      <c r="A52" s="31" t="s">
        <v>92</v>
      </c>
      <c r="B52" s="32" t="n">
        <v>2</v>
      </c>
      <c r="C52" s="31"/>
      <c r="D52" s="33"/>
    </row>
    <row r="53" customFormat="false" ht="18" hidden="false" customHeight="true" outlineLevel="0" collapsed="false">
      <c r="A53" s="28" t="s">
        <v>93</v>
      </c>
      <c r="B53" s="29" t="n">
        <f aca="false">SUM(B54:B57)</f>
        <v>8</v>
      </c>
      <c r="C53" s="28"/>
      <c r="D53" s="30" t="n">
        <f aca="false">SUM(D54:D57)</f>
        <v>0</v>
      </c>
    </row>
    <row r="54" customFormat="false" ht="15" hidden="false" customHeight="true" outlineLevel="0" collapsed="false">
      <c r="A54" s="31" t="s">
        <v>94</v>
      </c>
      <c r="B54" s="32" t="n">
        <v>2</v>
      </c>
      <c r="C54" s="31"/>
      <c r="D54" s="33"/>
    </row>
    <row r="55" customFormat="false" ht="15" hidden="false" customHeight="true" outlineLevel="0" collapsed="false">
      <c r="A55" s="31" t="s">
        <v>95</v>
      </c>
      <c r="B55" s="32" t="n">
        <v>3</v>
      </c>
      <c r="C55" s="31"/>
      <c r="D55" s="33"/>
    </row>
    <row r="56" customFormat="false" ht="15" hidden="false" customHeight="true" outlineLevel="0" collapsed="false">
      <c r="A56" s="31" t="s">
        <v>96</v>
      </c>
      <c r="B56" s="32" t="n">
        <v>2</v>
      </c>
      <c r="C56" s="31"/>
      <c r="D56" s="33"/>
    </row>
    <row r="57" customFormat="false" ht="15" hidden="false" customHeight="true" outlineLevel="0" collapsed="false">
      <c r="A57" s="31" t="s">
        <v>97</v>
      </c>
      <c r="B57" s="32" t="n">
        <v>1</v>
      </c>
      <c r="C57" s="31"/>
      <c r="D57" s="33"/>
    </row>
    <row r="58" customFormat="false" ht="18" hidden="false" customHeight="true" outlineLevel="0" collapsed="false">
      <c r="A58" s="28" t="s">
        <v>98</v>
      </c>
      <c r="B58" s="29" t="n">
        <f aca="false">SUM(B59:B62)</f>
        <v>6</v>
      </c>
      <c r="C58" s="28"/>
      <c r="D58" s="30" t="n">
        <f aca="false">SUM(D59:D62)</f>
        <v>0</v>
      </c>
    </row>
    <row r="59" customFormat="false" ht="15" hidden="false" customHeight="true" outlineLevel="0" collapsed="false">
      <c r="A59" s="31" t="s">
        <v>99</v>
      </c>
      <c r="B59" s="32" t="n">
        <v>2</v>
      </c>
      <c r="C59" s="31"/>
      <c r="D59" s="33"/>
    </row>
    <row r="60" customFormat="false" ht="15" hidden="false" customHeight="true" outlineLevel="0" collapsed="false">
      <c r="A60" s="31" t="s">
        <v>100</v>
      </c>
      <c r="B60" s="32" t="n">
        <v>2</v>
      </c>
      <c r="C60" s="31"/>
      <c r="D60" s="33"/>
    </row>
    <row r="61" customFormat="false" ht="15" hidden="false" customHeight="true" outlineLevel="0" collapsed="false">
      <c r="A61" s="31" t="s">
        <v>101</v>
      </c>
      <c r="B61" s="32" t="n">
        <v>1</v>
      </c>
      <c r="C61" s="31"/>
      <c r="D61" s="33"/>
    </row>
    <row r="62" customFormat="false" ht="15" hidden="false" customHeight="true" outlineLevel="0" collapsed="false">
      <c r="A62" s="31" t="s">
        <v>102</v>
      </c>
      <c r="B62" s="32" t="n">
        <v>1</v>
      </c>
      <c r="C62" s="31"/>
      <c r="D62" s="33"/>
    </row>
    <row r="63" customFormat="false" ht="15" hidden="false" customHeight="true" outlineLevel="0" collapsed="false">
      <c r="A63" s="28" t="s">
        <v>103</v>
      </c>
      <c r="B63" s="29" t="n">
        <f aca="false">SUM(B64:B65)</f>
        <v>6</v>
      </c>
      <c r="C63" s="28"/>
      <c r="D63" s="30" t="n">
        <f aca="false">SUM(D64:D65)</f>
        <v>0</v>
      </c>
    </row>
    <row r="64" customFormat="false" ht="15" hidden="false" customHeight="true" outlineLevel="0" collapsed="false">
      <c r="A64" s="31" t="s">
        <v>104</v>
      </c>
      <c r="B64" s="32" t="n">
        <v>3</v>
      </c>
      <c r="C64" s="31"/>
      <c r="D64" s="33"/>
    </row>
    <row r="65" customFormat="false" ht="15" hidden="false" customHeight="true" outlineLevel="0" collapsed="false">
      <c r="A65" s="31" t="s">
        <v>105</v>
      </c>
      <c r="B65" s="32" t="n">
        <v>3</v>
      </c>
      <c r="C65" s="31"/>
      <c r="D65" s="33"/>
    </row>
    <row r="66" customFormat="false" ht="19.5" hidden="false" customHeight="true" outlineLevel="0" collapsed="false">
      <c r="A66" s="25" t="s">
        <v>106</v>
      </c>
      <c r="B66" s="26" t="n">
        <f aca="false">B67+B73</f>
        <v>25</v>
      </c>
      <c r="C66" s="25"/>
      <c r="D66" s="27" t="e">
        <f aca="false">IF(D67+D73=0,"",D67+D73)</f>
        <v>#VALUE!</v>
      </c>
    </row>
    <row r="67" customFormat="false" ht="18" hidden="false" customHeight="true" outlineLevel="0" collapsed="false">
      <c r="A67" s="28" t="s">
        <v>107</v>
      </c>
      <c r="B67" s="29" t="n">
        <f aca="false">SUM(B68:B72)</f>
        <v>10</v>
      </c>
      <c r="C67" s="28"/>
      <c r="D67" s="30" t="str">
        <f aca="false">IF(SUM(D68:D72)=0,"",SUM(D68:D72))</f>
        <v/>
      </c>
    </row>
    <row r="68" customFormat="false" ht="15" hidden="false" customHeight="true" outlineLevel="0" collapsed="false">
      <c r="A68" s="31" t="s">
        <v>108</v>
      </c>
      <c r="B68" s="32" t="n">
        <v>2</v>
      </c>
      <c r="C68" s="31"/>
      <c r="D68" s="33"/>
    </row>
    <row r="69" customFormat="false" ht="15" hidden="false" customHeight="true" outlineLevel="0" collapsed="false">
      <c r="A69" s="31" t="s">
        <v>109</v>
      </c>
      <c r="B69" s="32" t="n">
        <v>2</v>
      </c>
      <c r="C69" s="31"/>
      <c r="D69" s="33"/>
    </row>
    <row r="70" customFormat="false" ht="15" hidden="false" customHeight="true" outlineLevel="0" collapsed="false">
      <c r="A70" s="31" t="s">
        <v>110</v>
      </c>
      <c r="B70" s="32" t="n">
        <v>2</v>
      </c>
      <c r="C70" s="31"/>
      <c r="D70" s="33"/>
    </row>
    <row r="71" customFormat="false" ht="15" hidden="false" customHeight="true" outlineLevel="0" collapsed="false">
      <c r="A71" s="31" t="s">
        <v>111</v>
      </c>
      <c r="B71" s="32" t="n">
        <v>2</v>
      </c>
      <c r="C71" s="31"/>
      <c r="D71" s="33"/>
    </row>
    <row r="72" customFormat="false" ht="15" hidden="false" customHeight="true" outlineLevel="0" collapsed="false">
      <c r="A72" s="31" t="s">
        <v>112</v>
      </c>
      <c r="B72" s="32" t="n">
        <v>2</v>
      </c>
      <c r="C72" s="31"/>
      <c r="D72" s="33"/>
    </row>
    <row r="73" customFormat="false" ht="18" hidden="false" customHeight="true" outlineLevel="0" collapsed="false">
      <c r="A73" s="28" t="s">
        <v>113</v>
      </c>
      <c r="B73" s="29" t="n">
        <f aca="false">SUM(B74:B76)</f>
        <v>15</v>
      </c>
      <c r="C73" s="28"/>
      <c r="D73" s="30" t="n">
        <f aca="false">SUM(D74:D76)</f>
        <v>0</v>
      </c>
    </row>
    <row r="74" customFormat="false" ht="15" hidden="false" customHeight="true" outlineLevel="0" collapsed="false">
      <c r="A74" s="31" t="s">
        <v>114</v>
      </c>
      <c r="B74" s="32" t="n">
        <v>5</v>
      </c>
      <c r="C74" s="31"/>
      <c r="D74" s="33"/>
    </row>
    <row r="75" customFormat="false" ht="15" hidden="false" customHeight="true" outlineLevel="0" collapsed="false">
      <c r="A75" s="31" t="s">
        <v>115</v>
      </c>
      <c r="B75" s="32" t="n">
        <v>5</v>
      </c>
      <c r="C75" s="31"/>
      <c r="D75" s="33"/>
    </row>
    <row r="76" customFormat="false" ht="15" hidden="false" customHeight="true" outlineLevel="0" collapsed="false">
      <c r="A76" s="31" t="s">
        <v>116</v>
      </c>
      <c r="B76" s="32" t="n">
        <v>5</v>
      </c>
      <c r="C76" s="31"/>
      <c r="D76" s="33"/>
    </row>
    <row r="77" customFormat="false" ht="19.5" hidden="false" customHeight="true" outlineLevel="0" collapsed="false">
      <c r="A77" s="34" t="s">
        <v>117</v>
      </c>
      <c r="B77" s="35" t="n">
        <f aca="false">B15+B29+B66</f>
        <v>100</v>
      </c>
      <c r="C77" s="36"/>
      <c r="D77" s="16" t="e">
        <f aca="false">IF(D15+D29+D66=0,"",D15+D29+D66)</f>
        <v>#VALUE!</v>
      </c>
    </row>
    <row r="78" customFormat="false" ht="1.5" hidden="false" customHeight="true" outlineLevel="0" collapsed="false">
      <c r="A78" s="18"/>
      <c r="B78" s="18"/>
      <c r="C78" s="18"/>
      <c r="D78" s="18"/>
    </row>
    <row r="79" customFormat="false" ht="15.75" hidden="false" customHeight="true" outlineLevel="0" collapsed="false">
      <c r="A79" s="17" t="s">
        <v>118</v>
      </c>
      <c r="B79" s="18"/>
      <c r="C79" s="18"/>
      <c r="D79" s="18"/>
    </row>
    <row r="80" customFormat="false" ht="15.75" hidden="false" customHeight="true" outlineLevel="0" collapsed="false">
      <c r="A80" s="24" t="s">
        <v>119</v>
      </c>
      <c r="B80" s="24" t="s">
        <v>120</v>
      </c>
      <c r="C80" s="24" t="s">
        <v>53</v>
      </c>
      <c r="D80" s="24"/>
    </row>
    <row r="81" customFormat="false" ht="15.75" hidden="false" customHeight="true" outlineLevel="0" collapsed="false">
      <c r="A81" s="31" t="s">
        <v>121</v>
      </c>
      <c r="B81" s="4"/>
      <c r="C81" s="37"/>
      <c r="D81" s="38"/>
    </row>
    <row r="82" customFormat="false" ht="15.75" hidden="false" customHeight="true" outlineLevel="0" collapsed="false">
      <c r="A82" s="31" t="s">
        <v>122</v>
      </c>
      <c r="B82" s="4"/>
      <c r="C82" s="37"/>
      <c r="D82" s="38"/>
    </row>
    <row r="83" customFormat="false" ht="15.75" hidden="false" customHeight="true" outlineLevel="0" collapsed="false">
      <c r="A83" s="31" t="s">
        <v>123</v>
      </c>
      <c r="B83" s="4"/>
      <c r="C83" s="37"/>
      <c r="D83" s="38"/>
    </row>
    <row r="84" customFormat="false" ht="15.75" hidden="false" customHeight="true" outlineLevel="0" collapsed="false">
      <c r="A84" s="31" t="s">
        <v>124</v>
      </c>
      <c r="B84" s="4"/>
      <c r="C84" s="37"/>
      <c r="D84" s="38"/>
    </row>
    <row r="85" customFormat="false" ht="15.75" hidden="false" customHeight="true" outlineLevel="0" collapsed="false">
      <c r="A85" s="31" t="s">
        <v>125</v>
      </c>
      <c r="B85" s="4"/>
      <c r="C85" s="37"/>
      <c r="D85" s="38"/>
    </row>
    <row r="86" customFormat="false" ht="15.75" hidden="false" customHeight="true" outlineLevel="0" collapsed="false">
      <c r="A86" s="31" t="s">
        <v>126</v>
      </c>
      <c r="B86" s="4"/>
      <c r="C86" s="37"/>
      <c r="D86" s="38"/>
    </row>
    <row r="87" customFormat="false" ht="1.5" hidden="false" customHeight="true" outlineLevel="0" collapsed="false">
      <c r="A87" s="18"/>
      <c r="B87" s="18"/>
      <c r="C87" s="18"/>
      <c r="D87" s="18"/>
    </row>
    <row r="88" customFormat="false" ht="15.75" hidden="false" customHeight="true" outlineLevel="0" collapsed="false">
      <c r="A88" s="17" t="s">
        <v>127</v>
      </c>
      <c r="B88" s="18"/>
      <c r="C88" s="18"/>
      <c r="D88" s="18"/>
    </row>
    <row r="89" customFormat="false" ht="15.75" hidden="false" customHeight="true" outlineLevel="0" collapsed="false">
      <c r="A89" s="24" t="s">
        <v>128</v>
      </c>
      <c r="B89" s="24" t="s">
        <v>8</v>
      </c>
      <c r="C89" s="24" t="s">
        <v>129</v>
      </c>
      <c r="D89" s="24" t="s">
        <v>130</v>
      </c>
    </row>
    <row r="90" customFormat="false" ht="15.75" hidden="false" customHeight="true" outlineLevel="0" collapsed="false">
      <c r="A90" s="31" t="s">
        <v>131</v>
      </c>
      <c r="B90" s="39" t="n">
        <v>-0.3</v>
      </c>
      <c r="C90" s="4"/>
      <c r="D90" s="8" t="str">
        <f aca="false">IF(C90="Sí",$D$77*B90,"")</f>
        <v/>
      </c>
    </row>
    <row r="91" customFormat="false" ht="15.75" hidden="false" customHeight="true" outlineLevel="0" collapsed="false">
      <c r="A91" s="31" t="s">
        <v>132</v>
      </c>
      <c r="B91" s="39" t="n">
        <v>-0.2</v>
      </c>
      <c r="C91" s="4"/>
      <c r="D91" s="8" t="str">
        <f aca="false">IF(C91="Sí",$D$77*B91,"")</f>
        <v/>
      </c>
    </row>
    <row r="92" customFormat="false" ht="15.75" hidden="false" customHeight="true" outlineLevel="0" collapsed="false">
      <c r="A92" s="31" t="s">
        <v>133</v>
      </c>
      <c r="B92" s="39" t="n">
        <v>-1</v>
      </c>
      <c r="C92" s="4"/>
      <c r="D92" s="8" t="str">
        <f aca="false">IF(C92="Sí",$D$77*B92,"")</f>
        <v/>
      </c>
    </row>
    <row r="93" customFormat="false" ht="15.75" hidden="false" customHeight="true" outlineLevel="0" collapsed="false">
      <c r="A93" s="31" t="s">
        <v>134</v>
      </c>
      <c r="B93" s="39" t="n">
        <v>-0.2</v>
      </c>
      <c r="C93" s="4"/>
      <c r="D93" s="8" t="str">
        <f aca="false">IF(C93="Sí",$D$77*B93,"")</f>
        <v/>
      </c>
    </row>
    <row r="94" customFormat="false" ht="15.75" hidden="false" customHeight="true" outlineLevel="0" collapsed="false">
      <c r="A94" s="31" t="s">
        <v>135</v>
      </c>
      <c r="B94" s="39" t="n">
        <v>-1</v>
      </c>
      <c r="C94" s="4"/>
      <c r="D94" s="8" t="str">
        <f aca="false">IF(C94="Sí",$D$77*B94,"")</f>
        <v/>
      </c>
    </row>
    <row r="95" customFormat="false" ht="15.75" hidden="false" customHeight="true" outlineLevel="0" collapsed="false">
      <c r="A95" s="31" t="s">
        <v>136</v>
      </c>
      <c r="B95" s="39" t="n">
        <v>-0.75</v>
      </c>
      <c r="C95" s="4"/>
      <c r="D95" s="8" t="str">
        <f aca="false">IF(C95="Sí",$D$77*B95,"")</f>
        <v/>
      </c>
    </row>
    <row r="96" customFormat="false" ht="15.75" hidden="false" customHeight="true" outlineLevel="0" collapsed="false">
      <c r="A96" s="31" t="s">
        <v>137</v>
      </c>
      <c r="B96" s="39" t="n">
        <v>-0.75</v>
      </c>
      <c r="C96" s="4"/>
      <c r="D96" s="8" t="str">
        <f aca="false">IF(C96="Sí",$D$77*B96,"")</f>
        <v/>
      </c>
    </row>
    <row r="97" customFormat="false" ht="15.75" hidden="false" customHeight="true" outlineLevel="0" collapsed="false">
      <c r="A97" s="31" t="s">
        <v>138</v>
      </c>
      <c r="B97" s="39" t="n">
        <v>-1</v>
      </c>
      <c r="C97" s="4"/>
      <c r="D97" s="8" t="str">
        <f aca="false">IF(C97="Sí",$D$77*B97,"")</f>
        <v/>
      </c>
    </row>
    <row r="98" customFormat="false" ht="15.75" hidden="false" customHeight="true" outlineLevel="0" collapsed="false">
      <c r="A98" s="31" t="s">
        <v>139</v>
      </c>
      <c r="B98" s="39" t="n">
        <v>-0.5</v>
      </c>
      <c r="C98" s="4"/>
      <c r="D98" s="8" t="str">
        <f aca="false">IF(C98="Sí",$D$77*B98,"")</f>
        <v/>
      </c>
    </row>
    <row r="99" customFormat="false" ht="15.75" hidden="false" customHeight="true" outlineLevel="0" collapsed="false">
      <c r="A99" s="31" t="s">
        <v>140</v>
      </c>
      <c r="B99" s="39" t="n">
        <v>-1</v>
      </c>
      <c r="C99" s="4"/>
      <c r="D99" s="8" t="str">
        <f aca="false">IF(C99="Sí",$D$77*B99,"")</f>
        <v/>
      </c>
    </row>
    <row r="100" customFormat="false" ht="15.75" hidden="false" customHeight="true" outlineLevel="0" collapsed="false">
      <c r="A100" s="31" t="s">
        <v>141</v>
      </c>
      <c r="B100" s="39" t="n">
        <v>-1</v>
      </c>
      <c r="C100" s="4"/>
      <c r="D100" s="8" t="str">
        <f aca="false">IF(C100="Sí",$D$77*B100,"")</f>
        <v/>
      </c>
    </row>
    <row r="101" customFormat="false" ht="15.75" hidden="false" customHeight="true" outlineLevel="0" collapsed="false">
      <c r="A101" s="31" t="s">
        <v>142</v>
      </c>
      <c r="B101" s="39" t="n">
        <v>-0.25</v>
      </c>
      <c r="C101" s="4"/>
      <c r="D101" s="8" t="str">
        <f aca="false">IF(C101="Sí",$D$77*B101,"")</f>
        <v/>
      </c>
    </row>
    <row r="102" customFormat="false" ht="15.75" hidden="false" customHeight="true" outlineLevel="0" collapsed="false">
      <c r="A102" s="31" t="s">
        <v>143</v>
      </c>
      <c r="B102" s="39" t="n">
        <v>-1</v>
      </c>
      <c r="C102" s="4"/>
      <c r="D102" s="8" t="str">
        <f aca="false">IF(C102="Sí",$D$77*B102,"")</f>
        <v/>
      </c>
    </row>
    <row r="103" customFormat="false" ht="15.75" hidden="false" customHeight="true" outlineLevel="0" collapsed="false">
      <c r="A103" s="31" t="s">
        <v>144</v>
      </c>
      <c r="B103" s="39" t="n">
        <v>-1</v>
      </c>
      <c r="C103" s="4"/>
      <c r="D103" s="8" t="str">
        <f aca="false">IF(C103="Sí",$D$77*B103,"")</f>
        <v/>
      </c>
    </row>
    <row r="104" customFormat="false" ht="15.75" hidden="false" customHeight="true" outlineLevel="0" collapsed="false">
      <c r="A104" s="31" t="s">
        <v>145</v>
      </c>
      <c r="B104" s="39" t="n">
        <v>-1</v>
      </c>
      <c r="C104" s="4"/>
      <c r="D104" s="8" t="str">
        <f aca="false">IF(C104="Sí",$D$77*B104,"")</f>
        <v/>
      </c>
    </row>
    <row r="105" customFormat="false" ht="15.75" hidden="false" customHeight="true" outlineLevel="0" collapsed="false">
      <c r="A105" s="31" t="s">
        <v>146</v>
      </c>
      <c r="B105" s="39" t="n">
        <v>-1</v>
      </c>
      <c r="C105" s="4"/>
      <c r="D105" s="8" t="str">
        <f aca="false">IF(C105="Sí",$D$77*B105,"")</f>
        <v/>
      </c>
    </row>
    <row r="106" customFormat="false" ht="15.75" hidden="false" customHeight="true" outlineLevel="0" collapsed="false">
      <c r="A106" s="34" t="s">
        <v>147</v>
      </c>
      <c r="B106" s="36"/>
      <c r="C106" s="36"/>
      <c r="D106" s="16" t="str">
        <f aca="false">IF(SUM(D90:D105)=0,"",SUM(D90:D105))</f>
        <v/>
      </c>
    </row>
    <row r="107" customFormat="false" ht="1.5" hidden="false" customHeight="true" outlineLevel="0" collapsed="false">
      <c r="A107" s="18"/>
      <c r="B107" s="18"/>
      <c r="C107" s="18"/>
      <c r="D107" s="18"/>
    </row>
    <row r="108" customFormat="false" ht="21.75" hidden="false" customHeight="true" outlineLevel="0" collapsed="false">
      <c r="A108" s="40" t="s">
        <v>148</v>
      </c>
      <c r="B108" s="41"/>
      <c r="C108" s="41"/>
      <c r="D108" s="42" t="e">
        <f aca="false">IF(MAX(0,ROUND($D$77+$D$106,2))=0,"",MAX(0,ROUND($D$77+$D$106,2)))</f>
        <v>#VALUE!</v>
      </c>
    </row>
    <row r="109" customFormat="false" ht="1.5" hidden="false" customHeight="true" outlineLevel="0" collapsed="false">
      <c r="A109" s="18"/>
      <c r="B109" s="18"/>
      <c r="C109" s="18"/>
      <c r="D109" s="18"/>
    </row>
    <row r="110" customFormat="false" ht="15.75" hidden="false" customHeight="true" outlineLevel="0" collapsed="false">
      <c r="A110" s="43" t="s">
        <v>149</v>
      </c>
      <c r="B110" s="18"/>
      <c r="C110" s="18"/>
      <c r="D110" s="18"/>
    </row>
    <row r="111" customFormat="false" ht="18" hidden="false" customHeight="true" outlineLevel="0" collapsed="false">
      <c r="A111" s="37"/>
      <c r="B111" s="37"/>
      <c r="C111" s="37"/>
      <c r="D111" s="37"/>
    </row>
    <row r="112" customFormat="false" ht="18" hidden="false" customHeight="true" outlineLevel="0" collapsed="false">
      <c r="A112" s="37"/>
      <c r="B112" s="37"/>
      <c r="C112" s="37"/>
      <c r="D112" s="37"/>
    </row>
    <row r="113" customFormat="false" ht="3" hidden="false" customHeight="true" outlineLevel="0" collapsed="false">
      <c r="A113" s="18"/>
      <c r="B113" s="18"/>
      <c r="C113" s="18"/>
      <c r="D113" s="18"/>
    </row>
    <row r="114" customFormat="false" ht="12" hidden="false" customHeight="true" outlineLevel="0" collapsed="false">
      <c r="A114" s="18"/>
      <c r="B114" s="18"/>
      <c r="C114" s="18"/>
      <c r="D114" s="18"/>
    </row>
    <row r="115" customFormat="false" ht="8.25" hidden="false" customHeight="true" outlineLevel="0" collapsed="false">
      <c r="A115" s="44" t="s">
        <v>150</v>
      </c>
      <c r="B115" s="18"/>
      <c r="C115" s="44" t="s">
        <v>150</v>
      </c>
      <c r="D115" s="18"/>
    </row>
    <row r="116" customFormat="false" ht="13.5" hidden="false" customHeight="true" outlineLevel="0" collapsed="false">
      <c r="A116" s="44" t="s">
        <v>151</v>
      </c>
      <c r="B116" s="18"/>
      <c r="C116" s="44" t="s">
        <v>152</v>
      </c>
      <c r="D116" s="18"/>
    </row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</sheetData>
  <mergeCells count="9">
    <mergeCell ref="A8:D8"/>
    <mergeCell ref="A10:B10"/>
    <mergeCell ref="C10:D10"/>
    <mergeCell ref="A11:B11"/>
    <mergeCell ref="C11:D11"/>
    <mergeCell ref="A12:B12"/>
    <mergeCell ref="C12:D12"/>
    <mergeCell ref="A111:D111"/>
    <mergeCell ref="A112:D112"/>
  </mergeCells>
  <conditionalFormatting sqref="D15:D76">
    <cfRule type="cellIs" priority="2" operator="greaterThan" aboveAverage="0" equalAverage="0" bottom="0" percent="0" rank="0" text="" dxfId="10">
      <formula>B15</formula>
    </cfRule>
  </conditionalFormatting>
  <dataValidations count="1">
    <dataValidation allowBlank="true" errorStyle="stop" operator="equal" showDropDown="false" showErrorMessage="false" showInputMessage="false" sqref="B81:B86 C90:C105" type="list">
      <formula1>"Sí,No"</formula1>
      <formula2>0</formula2>
    </dataValidation>
  </dataValidations>
  <printOptions headings="false" gridLines="false" gridLinesSet="true" horizontalCentered="true" verticalCentered="false"/>
  <pageMargins left="0.39375" right="0.39375" top="0.196527777777778" bottom="0.196527777777778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86"/>
  <sheetViews>
    <sheetView showFormulas="false" showGridLines="fals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C11" activeCellId="0" sqref="C1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87.43"/>
    <col collapsed="false" customWidth="true" hidden="false" outlineLevel="0" max="2" min="2" style="1" width="11"/>
    <col collapsed="false" customWidth="true" hidden="false" outlineLevel="0" max="3" min="3" style="1" width="34"/>
    <col collapsed="false" customWidth="true" hidden="false" outlineLevel="0" max="4" min="4" style="1" width="11"/>
    <col collapsed="false" customWidth="true" hidden="false" outlineLevel="0" max="26" min="5" style="1" width="8.71"/>
  </cols>
  <sheetData>
    <row r="1" customFormat="false" ht="13.8" hidden="false" customHeight="false" outlineLevel="0" collapsed="false">
      <c r="A1" s="17" t="s">
        <v>41</v>
      </c>
      <c r="B1" s="18"/>
      <c r="C1" s="18"/>
      <c r="D1" s="18"/>
    </row>
    <row r="2" customFormat="false" ht="13.8" hidden="false" customHeight="false" outlineLevel="0" collapsed="false">
      <c r="A2" s="17" t="s">
        <v>42</v>
      </c>
      <c r="B2" s="18"/>
      <c r="C2" s="18"/>
      <c r="D2" s="18"/>
    </row>
    <row r="3" customFormat="false" ht="13.8" hidden="false" customHeight="false" outlineLevel="0" collapsed="false">
      <c r="A3" s="17" t="s">
        <v>43</v>
      </c>
      <c r="B3" s="18"/>
      <c r="C3" s="18"/>
      <c r="D3" s="18"/>
    </row>
    <row r="4" customFormat="false" ht="13.8" hidden="false" customHeight="false" outlineLevel="0" collapsed="false">
      <c r="A4" s="17" t="s">
        <v>44</v>
      </c>
      <c r="B4" s="18"/>
      <c r="C4" s="18"/>
      <c r="D4" s="18"/>
    </row>
    <row r="5" customFormat="false" ht="13.8" hidden="false" customHeight="false" outlineLevel="0" collapsed="false">
      <c r="A5" s="17" t="s">
        <v>45</v>
      </c>
      <c r="B5" s="18"/>
      <c r="C5" s="18"/>
      <c r="D5" s="18"/>
    </row>
    <row r="6" customFormat="false" ht="13.8" hidden="false" customHeight="false" outlineLevel="0" collapsed="false">
      <c r="A6" s="17" t="s">
        <v>46</v>
      </c>
      <c r="B6" s="18"/>
      <c r="C6" s="18"/>
      <c r="D6" s="18"/>
    </row>
    <row r="7" customFormat="false" ht="13.8" hidden="false" customHeight="false" outlineLevel="0" collapsed="false">
      <c r="A7" s="17"/>
      <c r="B7" s="18"/>
      <c r="C7" s="18"/>
      <c r="D7" s="18"/>
    </row>
    <row r="8" customFormat="false" ht="13.8" hidden="false" customHeight="false" outlineLevel="0" collapsed="false">
      <c r="A8" s="19" t="s">
        <v>47</v>
      </c>
      <c r="B8" s="19"/>
      <c r="C8" s="19"/>
      <c r="D8" s="19"/>
    </row>
    <row r="9" customFormat="false" ht="13.8" hidden="false" customHeight="false" outlineLevel="0" collapsed="false">
      <c r="A9" s="20"/>
      <c r="B9" s="20"/>
      <c r="C9" s="20"/>
      <c r="D9" s="20"/>
    </row>
    <row r="10" customFormat="false" ht="13.8" hidden="false" customHeight="false" outlineLevel="0" collapsed="false">
      <c r="A10" s="21" t="s">
        <v>48</v>
      </c>
      <c r="B10" s="21"/>
      <c r="C10" s="22" t="n">
        <v>46252</v>
      </c>
      <c r="D10" s="22"/>
    </row>
    <row r="11" customFormat="false" ht="13.8" hidden="false" customHeight="false" outlineLevel="0" collapsed="false">
      <c r="A11" s="21" t="s">
        <v>49</v>
      </c>
      <c r="B11" s="21"/>
      <c r="C11" s="23" t="str">
        <f aca="false">VLOOKUP(C12, Consolidado!$B$3:$C$26, 2, 0)</f>
        <v>ADRIAN EDUARDO ALVAREZ ZAMBRANO</v>
      </c>
      <c r="D11" s="23"/>
    </row>
    <row r="12" customFormat="false" ht="13.8" hidden="false" customHeight="false" outlineLevel="0" collapsed="false">
      <c r="A12" s="21" t="s">
        <v>50</v>
      </c>
      <c r="B12" s="21"/>
      <c r="C12" s="45" t="n">
        <v>202400482</v>
      </c>
      <c r="D12" s="23"/>
    </row>
    <row r="13" customFormat="false" ht="13.8" hidden="false" customHeight="false" outlineLevel="0" collapsed="false">
      <c r="A13" s="18"/>
      <c r="B13" s="18"/>
      <c r="C13" s="18"/>
      <c r="D13" s="18"/>
    </row>
    <row r="14" customFormat="false" ht="19.5" hidden="false" customHeight="true" outlineLevel="0" collapsed="false">
      <c r="A14" s="24" t="s">
        <v>51</v>
      </c>
      <c r="B14" s="24" t="s">
        <v>52</v>
      </c>
      <c r="C14" s="24" t="s">
        <v>53</v>
      </c>
      <c r="D14" s="24" t="s">
        <v>54</v>
      </c>
    </row>
    <row r="15" customFormat="false" ht="19.5" hidden="false" customHeight="true" outlineLevel="0" collapsed="false">
      <c r="A15" s="25" t="s">
        <v>55</v>
      </c>
      <c r="B15" s="26" t="n">
        <f aca="false">B16+B21+B25</f>
        <v>20</v>
      </c>
      <c r="C15" s="25"/>
      <c r="D15" s="27" t="str">
        <f aca="false">IF(D16+D21+D25=0,"",D16+D21+D25)</f>
        <v/>
      </c>
    </row>
    <row r="16" customFormat="false" ht="18" hidden="false" customHeight="true" outlineLevel="0" collapsed="false">
      <c r="A16" s="28" t="s">
        <v>56</v>
      </c>
      <c r="B16" s="29" t="n">
        <f aca="false">SUM(B17:B20)</f>
        <v>8</v>
      </c>
      <c r="C16" s="28"/>
      <c r="D16" s="30" t="n">
        <f aca="false">SUM(D17:D20)</f>
        <v>0</v>
      </c>
    </row>
    <row r="17" customFormat="false" ht="15" hidden="false" customHeight="true" outlineLevel="0" collapsed="false">
      <c r="A17" s="31" t="s">
        <v>57</v>
      </c>
      <c r="B17" s="32" t="n">
        <v>2</v>
      </c>
      <c r="C17" s="31"/>
      <c r="D17" s="33"/>
    </row>
    <row r="18" customFormat="false" ht="15" hidden="false" customHeight="true" outlineLevel="0" collapsed="false">
      <c r="A18" s="31" t="s">
        <v>58</v>
      </c>
      <c r="B18" s="32" t="n">
        <v>2</v>
      </c>
      <c r="C18" s="31"/>
      <c r="D18" s="33"/>
    </row>
    <row r="19" customFormat="false" ht="15" hidden="false" customHeight="true" outlineLevel="0" collapsed="false">
      <c r="A19" s="31" t="s">
        <v>59</v>
      </c>
      <c r="B19" s="32" t="n">
        <v>2</v>
      </c>
      <c r="C19" s="31"/>
      <c r="D19" s="33"/>
    </row>
    <row r="20" customFormat="false" ht="15" hidden="false" customHeight="true" outlineLevel="0" collapsed="false">
      <c r="A20" s="31" t="s">
        <v>60</v>
      </c>
      <c r="B20" s="32" t="n">
        <v>2</v>
      </c>
      <c r="C20" s="31"/>
      <c r="D20" s="33"/>
    </row>
    <row r="21" customFormat="false" ht="18" hidden="false" customHeight="true" outlineLevel="0" collapsed="false">
      <c r="A21" s="28" t="s">
        <v>61</v>
      </c>
      <c r="B21" s="29" t="n">
        <f aca="false">SUM(B22:B24)</f>
        <v>6</v>
      </c>
      <c r="C21" s="28"/>
      <c r="D21" s="30" t="n">
        <f aca="false">SUM(D22:D24)</f>
        <v>0</v>
      </c>
    </row>
    <row r="22" customFormat="false" ht="15" hidden="false" customHeight="true" outlineLevel="0" collapsed="false">
      <c r="A22" s="31" t="s">
        <v>62</v>
      </c>
      <c r="B22" s="32" t="n">
        <v>2</v>
      </c>
      <c r="C22" s="31"/>
      <c r="D22" s="33"/>
    </row>
    <row r="23" customFormat="false" ht="15" hidden="false" customHeight="true" outlineLevel="0" collapsed="false">
      <c r="A23" s="31" t="s">
        <v>63</v>
      </c>
      <c r="B23" s="32" t="n">
        <v>2</v>
      </c>
      <c r="C23" s="31"/>
      <c r="D23" s="33"/>
    </row>
    <row r="24" customFormat="false" ht="15" hidden="false" customHeight="true" outlineLevel="0" collapsed="false">
      <c r="A24" s="31" t="s">
        <v>64</v>
      </c>
      <c r="B24" s="32" t="n">
        <v>2</v>
      </c>
      <c r="C24" s="31"/>
      <c r="D24" s="33"/>
    </row>
    <row r="25" customFormat="false" ht="18" hidden="false" customHeight="true" outlineLevel="0" collapsed="false">
      <c r="A25" s="28" t="s">
        <v>65</v>
      </c>
      <c r="B25" s="29" t="n">
        <f aca="false">SUM(B26:B28)</f>
        <v>6</v>
      </c>
      <c r="C25" s="28"/>
      <c r="D25" s="30" t="n">
        <f aca="false">SUM(D26:D28)</f>
        <v>0</v>
      </c>
    </row>
    <row r="26" customFormat="false" ht="16.5" hidden="false" customHeight="true" outlineLevel="0" collapsed="false">
      <c r="A26" s="31" t="s">
        <v>66</v>
      </c>
      <c r="B26" s="32" t="n">
        <v>2</v>
      </c>
      <c r="C26" s="31"/>
      <c r="D26" s="33"/>
    </row>
    <row r="27" customFormat="false" ht="15" hidden="false" customHeight="true" outlineLevel="0" collapsed="false">
      <c r="A27" s="31" t="s">
        <v>67</v>
      </c>
      <c r="B27" s="32" t="n">
        <v>2</v>
      </c>
      <c r="C27" s="31"/>
      <c r="D27" s="33"/>
    </row>
    <row r="28" customFormat="false" ht="15" hidden="false" customHeight="true" outlineLevel="0" collapsed="false">
      <c r="A28" s="31" t="s">
        <v>68</v>
      </c>
      <c r="B28" s="32" t="n">
        <v>2</v>
      </c>
      <c r="C28" s="31"/>
      <c r="D28" s="33"/>
    </row>
    <row r="29" customFormat="false" ht="19.5" hidden="false" customHeight="true" outlineLevel="0" collapsed="false">
      <c r="A29" s="25" t="s">
        <v>69</v>
      </c>
      <c r="B29" s="26" t="n">
        <f aca="false">B30+B34+B40+B44+B49+B53+B58+B63</f>
        <v>55</v>
      </c>
      <c r="C29" s="25"/>
      <c r="D29" s="27" t="str">
        <f aca="false">IF(D30+D34+D40+D44+D49+D53+D58+D63=0,"",D30+D34+D40+D44+D49+D53+D58+D63)</f>
        <v/>
      </c>
    </row>
    <row r="30" customFormat="false" ht="18" hidden="false" customHeight="true" outlineLevel="0" collapsed="false">
      <c r="A30" s="28" t="s">
        <v>70</v>
      </c>
      <c r="B30" s="29" t="n">
        <f aca="false">SUM(B31:B33)</f>
        <v>5</v>
      </c>
      <c r="C30" s="28"/>
      <c r="D30" s="30" t="n">
        <f aca="false">SUM(D31:D33)</f>
        <v>0</v>
      </c>
    </row>
    <row r="31" customFormat="false" ht="15" hidden="false" customHeight="true" outlineLevel="0" collapsed="false">
      <c r="A31" s="31" t="s">
        <v>71</v>
      </c>
      <c r="B31" s="32" t="n">
        <v>2</v>
      </c>
      <c r="C31" s="31"/>
      <c r="D31" s="33"/>
    </row>
    <row r="32" customFormat="false" ht="15" hidden="false" customHeight="true" outlineLevel="0" collapsed="false">
      <c r="A32" s="31" t="s">
        <v>72</v>
      </c>
      <c r="B32" s="32" t="n">
        <v>2</v>
      </c>
      <c r="C32" s="31"/>
      <c r="D32" s="33"/>
    </row>
    <row r="33" customFormat="false" ht="15" hidden="false" customHeight="true" outlineLevel="0" collapsed="false">
      <c r="A33" s="31" t="s">
        <v>73</v>
      </c>
      <c r="B33" s="32" t="n">
        <v>1</v>
      </c>
      <c r="C33" s="31"/>
      <c r="D33" s="33"/>
    </row>
    <row r="34" customFormat="false" ht="18" hidden="false" customHeight="true" outlineLevel="0" collapsed="false">
      <c r="A34" s="28" t="s">
        <v>74</v>
      </c>
      <c r="B34" s="29" t="n">
        <f aca="false">SUM(B35:B39)</f>
        <v>10</v>
      </c>
      <c r="C34" s="28"/>
      <c r="D34" s="30" t="n">
        <f aca="false">SUM(D35:D39)</f>
        <v>0</v>
      </c>
    </row>
    <row r="35" customFormat="false" ht="15" hidden="false" customHeight="true" outlineLevel="0" collapsed="false">
      <c r="A35" s="31" t="s">
        <v>75</v>
      </c>
      <c r="B35" s="32" t="n">
        <v>3</v>
      </c>
      <c r="C35" s="31"/>
      <c r="D35" s="33"/>
    </row>
    <row r="36" customFormat="false" ht="15" hidden="false" customHeight="true" outlineLevel="0" collapsed="false">
      <c r="A36" s="31" t="s">
        <v>76</v>
      </c>
      <c r="B36" s="32" t="n">
        <v>2</v>
      </c>
      <c r="C36" s="31"/>
      <c r="D36" s="33"/>
    </row>
    <row r="37" customFormat="false" ht="15" hidden="false" customHeight="true" outlineLevel="0" collapsed="false">
      <c r="A37" s="31" t="s">
        <v>77</v>
      </c>
      <c r="B37" s="32" t="n">
        <v>2</v>
      </c>
      <c r="C37" s="31"/>
      <c r="D37" s="33"/>
    </row>
    <row r="38" customFormat="false" ht="15" hidden="false" customHeight="true" outlineLevel="0" collapsed="false">
      <c r="A38" s="31" t="s">
        <v>78</v>
      </c>
      <c r="B38" s="32" t="n">
        <v>1</v>
      </c>
      <c r="C38" s="31"/>
      <c r="D38" s="33"/>
    </row>
    <row r="39" customFormat="false" ht="15" hidden="false" customHeight="true" outlineLevel="0" collapsed="false">
      <c r="A39" s="31" t="s">
        <v>79</v>
      </c>
      <c r="B39" s="32" t="n">
        <v>2</v>
      </c>
      <c r="C39" s="31"/>
      <c r="D39" s="33"/>
    </row>
    <row r="40" customFormat="false" ht="18" hidden="false" customHeight="true" outlineLevel="0" collapsed="false">
      <c r="A40" s="28" t="s">
        <v>80</v>
      </c>
      <c r="B40" s="29" t="n">
        <f aca="false">SUM(B41:B43)</f>
        <v>6</v>
      </c>
      <c r="C40" s="28"/>
      <c r="D40" s="30" t="n">
        <f aca="false">SUM(D41:D43)</f>
        <v>0</v>
      </c>
    </row>
    <row r="41" customFormat="false" ht="15" hidden="false" customHeight="true" outlineLevel="0" collapsed="false">
      <c r="A41" s="31" t="s">
        <v>81</v>
      </c>
      <c r="B41" s="32" t="n">
        <v>2</v>
      </c>
      <c r="C41" s="31"/>
      <c r="D41" s="33"/>
    </row>
    <row r="42" customFormat="false" ht="15" hidden="false" customHeight="true" outlineLevel="0" collapsed="false">
      <c r="A42" s="31" t="s">
        <v>82</v>
      </c>
      <c r="B42" s="32" t="n">
        <v>2</v>
      </c>
      <c r="C42" s="31"/>
      <c r="D42" s="33"/>
    </row>
    <row r="43" customFormat="false" ht="15" hidden="false" customHeight="true" outlineLevel="0" collapsed="false">
      <c r="A43" s="31" t="s">
        <v>83</v>
      </c>
      <c r="B43" s="32" t="n">
        <v>2</v>
      </c>
      <c r="C43" s="31"/>
      <c r="D43" s="33"/>
    </row>
    <row r="44" customFormat="false" ht="18" hidden="false" customHeight="true" outlineLevel="0" collapsed="false">
      <c r="A44" s="28" t="s">
        <v>84</v>
      </c>
      <c r="B44" s="29" t="n">
        <f aca="false">SUM(B45:B48)</f>
        <v>8</v>
      </c>
      <c r="C44" s="28"/>
      <c r="D44" s="30" t="n">
        <f aca="false">SUM(D45:D48)</f>
        <v>0</v>
      </c>
    </row>
    <row r="45" customFormat="false" ht="15" hidden="false" customHeight="true" outlineLevel="0" collapsed="false">
      <c r="A45" s="31" t="s">
        <v>85</v>
      </c>
      <c r="B45" s="32" t="n">
        <v>2</v>
      </c>
      <c r="C45" s="31"/>
      <c r="D45" s="33"/>
    </row>
    <row r="46" customFormat="false" ht="15" hidden="false" customHeight="true" outlineLevel="0" collapsed="false">
      <c r="A46" s="31" t="s">
        <v>86</v>
      </c>
      <c r="B46" s="32" t="n">
        <v>3</v>
      </c>
      <c r="C46" s="31"/>
      <c r="D46" s="33"/>
    </row>
    <row r="47" customFormat="false" ht="15" hidden="false" customHeight="true" outlineLevel="0" collapsed="false">
      <c r="A47" s="31" t="s">
        <v>87</v>
      </c>
      <c r="B47" s="32" t="n">
        <v>2</v>
      </c>
      <c r="C47" s="31"/>
      <c r="D47" s="33"/>
    </row>
    <row r="48" customFormat="false" ht="15" hidden="false" customHeight="true" outlineLevel="0" collapsed="false">
      <c r="A48" s="31" t="s">
        <v>88</v>
      </c>
      <c r="B48" s="32" t="n">
        <v>1</v>
      </c>
      <c r="C48" s="31"/>
      <c r="D48" s="33"/>
    </row>
    <row r="49" customFormat="false" ht="18" hidden="false" customHeight="true" outlineLevel="0" collapsed="false">
      <c r="A49" s="28" t="s">
        <v>89</v>
      </c>
      <c r="B49" s="29" t="n">
        <f aca="false">SUM(B50:B52)</f>
        <v>6</v>
      </c>
      <c r="C49" s="28"/>
      <c r="D49" s="30" t="n">
        <f aca="false">SUM(D50:D52)</f>
        <v>0</v>
      </c>
    </row>
    <row r="50" customFormat="false" ht="15" hidden="false" customHeight="true" outlineLevel="0" collapsed="false">
      <c r="A50" s="31" t="s">
        <v>90</v>
      </c>
      <c r="B50" s="32" t="n">
        <v>2</v>
      </c>
      <c r="C50" s="31"/>
      <c r="D50" s="33"/>
    </row>
    <row r="51" customFormat="false" ht="15" hidden="false" customHeight="true" outlineLevel="0" collapsed="false">
      <c r="A51" s="31" t="s">
        <v>91</v>
      </c>
      <c r="B51" s="32" t="n">
        <v>2</v>
      </c>
      <c r="C51" s="31"/>
      <c r="D51" s="33"/>
    </row>
    <row r="52" customFormat="false" ht="15" hidden="false" customHeight="true" outlineLevel="0" collapsed="false">
      <c r="A52" s="31" t="s">
        <v>92</v>
      </c>
      <c r="B52" s="32" t="n">
        <v>2</v>
      </c>
      <c r="C52" s="31"/>
      <c r="D52" s="33"/>
    </row>
    <row r="53" customFormat="false" ht="18" hidden="false" customHeight="true" outlineLevel="0" collapsed="false">
      <c r="A53" s="28" t="s">
        <v>93</v>
      </c>
      <c r="B53" s="29" t="n">
        <f aca="false">SUM(B54:B57)</f>
        <v>8</v>
      </c>
      <c r="C53" s="28"/>
      <c r="D53" s="30" t="n">
        <f aca="false">SUM(D54:D57)</f>
        <v>0</v>
      </c>
    </row>
    <row r="54" customFormat="false" ht="15" hidden="false" customHeight="true" outlineLevel="0" collapsed="false">
      <c r="A54" s="31" t="s">
        <v>94</v>
      </c>
      <c r="B54" s="32" t="n">
        <v>2</v>
      </c>
      <c r="C54" s="31"/>
      <c r="D54" s="33"/>
    </row>
    <row r="55" customFormat="false" ht="15" hidden="false" customHeight="true" outlineLevel="0" collapsed="false">
      <c r="A55" s="31" t="s">
        <v>95</v>
      </c>
      <c r="B55" s="32" t="n">
        <v>3</v>
      </c>
      <c r="C55" s="31"/>
      <c r="D55" s="33"/>
    </row>
    <row r="56" customFormat="false" ht="15" hidden="false" customHeight="true" outlineLevel="0" collapsed="false">
      <c r="A56" s="31" t="s">
        <v>96</v>
      </c>
      <c r="B56" s="32" t="n">
        <v>2</v>
      </c>
      <c r="C56" s="31"/>
      <c r="D56" s="33"/>
    </row>
    <row r="57" customFormat="false" ht="15" hidden="false" customHeight="true" outlineLevel="0" collapsed="false">
      <c r="A57" s="31" t="s">
        <v>97</v>
      </c>
      <c r="B57" s="32" t="n">
        <v>1</v>
      </c>
      <c r="C57" s="31"/>
      <c r="D57" s="33"/>
    </row>
    <row r="58" customFormat="false" ht="18" hidden="false" customHeight="true" outlineLevel="0" collapsed="false">
      <c r="A58" s="28" t="s">
        <v>98</v>
      </c>
      <c r="B58" s="29" t="n">
        <f aca="false">SUM(B59:B62)</f>
        <v>6</v>
      </c>
      <c r="C58" s="28"/>
      <c r="D58" s="30" t="n">
        <f aca="false">SUM(D59:D62)</f>
        <v>0</v>
      </c>
    </row>
    <row r="59" customFormat="false" ht="15" hidden="false" customHeight="true" outlineLevel="0" collapsed="false">
      <c r="A59" s="31" t="s">
        <v>99</v>
      </c>
      <c r="B59" s="32" t="n">
        <v>2</v>
      </c>
      <c r="C59" s="31"/>
      <c r="D59" s="33"/>
    </row>
    <row r="60" customFormat="false" ht="15" hidden="false" customHeight="true" outlineLevel="0" collapsed="false">
      <c r="A60" s="31" t="s">
        <v>100</v>
      </c>
      <c r="B60" s="32" t="n">
        <v>2</v>
      </c>
      <c r="C60" s="31"/>
      <c r="D60" s="33"/>
    </row>
    <row r="61" customFormat="false" ht="15" hidden="false" customHeight="true" outlineLevel="0" collapsed="false">
      <c r="A61" s="31" t="s">
        <v>101</v>
      </c>
      <c r="B61" s="32" t="n">
        <v>1</v>
      </c>
      <c r="C61" s="31"/>
      <c r="D61" s="33"/>
    </row>
    <row r="62" customFormat="false" ht="15" hidden="false" customHeight="true" outlineLevel="0" collapsed="false">
      <c r="A62" s="31" t="s">
        <v>102</v>
      </c>
      <c r="B62" s="32" t="n">
        <v>1</v>
      </c>
      <c r="C62" s="31"/>
      <c r="D62" s="33"/>
    </row>
    <row r="63" customFormat="false" ht="15" hidden="false" customHeight="true" outlineLevel="0" collapsed="false">
      <c r="A63" s="28" t="s">
        <v>103</v>
      </c>
      <c r="B63" s="29" t="n">
        <f aca="false">SUM(B64:B65)</f>
        <v>6</v>
      </c>
      <c r="C63" s="28"/>
      <c r="D63" s="30" t="n">
        <f aca="false">SUM(D64:D65)</f>
        <v>0</v>
      </c>
    </row>
    <row r="64" customFormat="false" ht="15" hidden="false" customHeight="true" outlineLevel="0" collapsed="false">
      <c r="A64" s="31" t="s">
        <v>104</v>
      </c>
      <c r="B64" s="32" t="n">
        <v>3</v>
      </c>
      <c r="C64" s="31"/>
      <c r="D64" s="33"/>
    </row>
    <row r="65" customFormat="false" ht="15" hidden="false" customHeight="true" outlineLevel="0" collapsed="false">
      <c r="A65" s="31" t="s">
        <v>105</v>
      </c>
      <c r="B65" s="32" t="n">
        <v>3</v>
      </c>
      <c r="C65" s="31"/>
      <c r="D65" s="33"/>
    </row>
    <row r="66" customFormat="false" ht="19.5" hidden="false" customHeight="true" outlineLevel="0" collapsed="false">
      <c r="A66" s="25" t="s">
        <v>106</v>
      </c>
      <c r="B66" s="26" t="n">
        <f aca="false">B67+B73</f>
        <v>25</v>
      </c>
      <c r="C66" s="25"/>
      <c r="D66" s="27" t="e">
        <f aca="false">IF(D67+D73=0,"",D67+D73)</f>
        <v>#VALUE!</v>
      </c>
    </row>
    <row r="67" customFormat="false" ht="18" hidden="false" customHeight="true" outlineLevel="0" collapsed="false">
      <c r="A67" s="28" t="s">
        <v>107</v>
      </c>
      <c r="B67" s="29" t="n">
        <f aca="false">SUM(B68:B72)</f>
        <v>10</v>
      </c>
      <c r="C67" s="28"/>
      <c r="D67" s="30" t="str">
        <f aca="false">IF(SUM(D68:D72)=0,"",SUM(D68:D72))</f>
        <v/>
      </c>
    </row>
    <row r="68" customFormat="false" ht="15" hidden="false" customHeight="true" outlineLevel="0" collapsed="false">
      <c r="A68" s="31" t="s">
        <v>108</v>
      </c>
      <c r="B68" s="32" t="n">
        <v>2</v>
      </c>
      <c r="C68" s="31"/>
      <c r="D68" s="33"/>
    </row>
    <row r="69" customFormat="false" ht="15" hidden="false" customHeight="true" outlineLevel="0" collapsed="false">
      <c r="A69" s="31" t="s">
        <v>109</v>
      </c>
      <c r="B69" s="32" t="n">
        <v>2</v>
      </c>
      <c r="C69" s="31"/>
      <c r="D69" s="33"/>
    </row>
    <row r="70" customFormat="false" ht="15" hidden="false" customHeight="true" outlineLevel="0" collapsed="false">
      <c r="A70" s="31" t="s">
        <v>110</v>
      </c>
      <c r="B70" s="32" t="n">
        <v>2</v>
      </c>
      <c r="C70" s="31"/>
      <c r="D70" s="33"/>
    </row>
    <row r="71" customFormat="false" ht="15" hidden="false" customHeight="true" outlineLevel="0" collapsed="false">
      <c r="A71" s="31" t="s">
        <v>111</v>
      </c>
      <c r="B71" s="32" t="n">
        <v>2</v>
      </c>
      <c r="C71" s="31"/>
      <c r="D71" s="33"/>
    </row>
    <row r="72" customFormat="false" ht="15" hidden="false" customHeight="true" outlineLevel="0" collapsed="false">
      <c r="A72" s="31" t="s">
        <v>112</v>
      </c>
      <c r="B72" s="32" t="n">
        <v>2</v>
      </c>
      <c r="C72" s="31"/>
      <c r="D72" s="33"/>
    </row>
    <row r="73" customFormat="false" ht="18" hidden="false" customHeight="true" outlineLevel="0" collapsed="false">
      <c r="A73" s="28" t="s">
        <v>113</v>
      </c>
      <c r="B73" s="29" t="n">
        <f aca="false">SUM(B74:B76)</f>
        <v>15</v>
      </c>
      <c r="C73" s="28"/>
      <c r="D73" s="30" t="n">
        <f aca="false">SUM(D74:D76)</f>
        <v>0</v>
      </c>
    </row>
    <row r="74" customFormat="false" ht="15" hidden="false" customHeight="true" outlineLevel="0" collapsed="false">
      <c r="A74" s="31" t="s">
        <v>114</v>
      </c>
      <c r="B74" s="32" t="n">
        <v>5</v>
      </c>
      <c r="C74" s="31"/>
      <c r="D74" s="33"/>
    </row>
    <row r="75" customFormat="false" ht="15" hidden="false" customHeight="true" outlineLevel="0" collapsed="false">
      <c r="A75" s="31" t="s">
        <v>115</v>
      </c>
      <c r="B75" s="32" t="n">
        <v>5</v>
      </c>
      <c r="C75" s="31"/>
      <c r="D75" s="33"/>
    </row>
    <row r="76" customFormat="false" ht="15" hidden="false" customHeight="true" outlineLevel="0" collapsed="false">
      <c r="A76" s="31" t="s">
        <v>116</v>
      </c>
      <c r="B76" s="32" t="n">
        <v>5</v>
      </c>
      <c r="C76" s="31"/>
      <c r="D76" s="33"/>
    </row>
    <row r="77" customFormat="false" ht="19.5" hidden="false" customHeight="true" outlineLevel="0" collapsed="false">
      <c r="A77" s="34" t="s">
        <v>117</v>
      </c>
      <c r="B77" s="35" t="n">
        <f aca="false">B15+B29+B66</f>
        <v>100</v>
      </c>
      <c r="C77" s="36"/>
      <c r="D77" s="16" t="e">
        <f aca="false">IF(D15+D29+D66=0,"",D15+D29+D66)</f>
        <v>#VALUE!</v>
      </c>
    </row>
    <row r="78" customFormat="false" ht="1.5" hidden="false" customHeight="true" outlineLevel="0" collapsed="false">
      <c r="A78" s="18"/>
      <c r="B78" s="18"/>
      <c r="C78" s="18"/>
      <c r="D78" s="18"/>
    </row>
    <row r="79" customFormat="false" ht="15.75" hidden="false" customHeight="true" outlineLevel="0" collapsed="false">
      <c r="A79" s="17" t="s">
        <v>118</v>
      </c>
      <c r="B79" s="18"/>
      <c r="C79" s="18"/>
      <c r="D79" s="18"/>
    </row>
    <row r="80" customFormat="false" ht="15.75" hidden="false" customHeight="true" outlineLevel="0" collapsed="false">
      <c r="A80" s="24" t="s">
        <v>119</v>
      </c>
      <c r="B80" s="24" t="s">
        <v>120</v>
      </c>
      <c r="C80" s="24" t="s">
        <v>53</v>
      </c>
      <c r="D80" s="24"/>
    </row>
    <row r="81" customFormat="false" ht="15.75" hidden="false" customHeight="true" outlineLevel="0" collapsed="false">
      <c r="A81" s="31" t="s">
        <v>121</v>
      </c>
      <c r="B81" s="4"/>
      <c r="C81" s="37"/>
      <c r="D81" s="38"/>
    </row>
    <row r="82" customFormat="false" ht="15.75" hidden="false" customHeight="true" outlineLevel="0" collapsed="false">
      <c r="A82" s="31" t="s">
        <v>122</v>
      </c>
      <c r="B82" s="4"/>
      <c r="C82" s="37"/>
      <c r="D82" s="38"/>
    </row>
    <row r="83" customFormat="false" ht="15.75" hidden="false" customHeight="true" outlineLevel="0" collapsed="false">
      <c r="A83" s="31" t="s">
        <v>123</v>
      </c>
      <c r="B83" s="4"/>
      <c r="C83" s="37"/>
      <c r="D83" s="38"/>
    </row>
    <row r="84" customFormat="false" ht="15.75" hidden="false" customHeight="true" outlineLevel="0" collapsed="false">
      <c r="A84" s="31" t="s">
        <v>124</v>
      </c>
      <c r="B84" s="4"/>
      <c r="C84" s="37"/>
      <c r="D84" s="38"/>
    </row>
    <row r="85" customFormat="false" ht="15.75" hidden="false" customHeight="true" outlineLevel="0" collapsed="false">
      <c r="A85" s="31" t="s">
        <v>125</v>
      </c>
      <c r="B85" s="4"/>
      <c r="C85" s="37"/>
      <c r="D85" s="38"/>
    </row>
    <row r="86" customFormat="false" ht="15.75" hidden="false" customHeight="true" outlineLevel="0" collapsed="false">
      <c r="A86" s="31" t="s">
        <v>126</v>
      </c>
      <c r="B86" s="4"/>
      <c r="C86" s="37"/>
      <c r="D86" s="38"/>
    </row>
    <row r="87" customFormat="false" ht="1.5" hidden="false" customHeight="true" outlineLevel="0" collapsed="false">
      <c r="A87" s="18"/>
      <c r="B87" s="18"/>
      <c r="C87" s="18"/>
      <c r="D87" s="18"/>
    </row>
    <row r="88" customFormat="false" ht="15.75" hidden="false" customHeight="true" outlineLevel="0" collapsed="false">
      <c r="A88" s="17" t="s">
        <v>127</v>
      </c>
      <c r="B88" s="18"/>
      <c r="C88" s="18"/>
      <c r="D88" s="18"/>
    </row>
    <row r="89" customFormat="false" ht="15.75" hidden="false" customHeight="true" outlineLevel="0" collapsed="false">
      <c r="A89" s="24" t="s">
        <v>128</v>
      </c>
      <c r="B89" s="24" t="s">
        <v>8</v>
      </c>
      <c r="C89" s="24" t="s">
        <v>129</v>
      </c>
      <c r="D89" s="24" t="s">
        <v>130</v>
      </c>
    </row>
    <row r="90" customFormat="false" ht="15.75" hidden="false" customHeight="true" outlineLevel="0" collapsed="false">
      <c r="A90" s="31" t="s">
        <v>131</v>
      </c>
      <c r="B90" s="39" t="n">
        <v>-0.3</v>
      </c>
      <c r="C90" s="4"/>
      <c r="D90" s="8" t="str">
        <f aca="false">IF(C90="Sí",$D$77*B90,"")</f>
        <v/>
      </c>
    </row>
    <row r="91" customFormat="false" ht="15.75" hidden="false" customHeight="true" outlineLevel="0" collapsed="false">
      <c r="A91" s="31" t="s">
        <v>132</v>
      </c>
      <c r="B91" s="39" t="n">
        <v>-0.2</v>
      </c>
      <c r="C91" s="4"/>
      <c r="D91" s="8" t="str">
        <f aca="false">IF(C91="Sí",$D$77*B91,"")</f>
        <v/>
      </c>
    </row>
    <row r="92" customFormat="false" ht="15.75" hidden="false" customHeight="true" outlineLevel="0" collapsed="false">
      <c r="A92" s="31" t="s">
        <v>133</v>
      </c>
      <c r="B92" s="39" t="n">
        <v>-1</v>
      </c>
      <c r="C92" s="4"/>
      <c r="D92" s="8" t="str">
        <f aca="false">IF(C92="Sí",$D$77*B92,"")</f>
        <v/>
      </c>
    </row>
    <row r="93" customFormat="false" ht="15.75" hidden="false" customHeight="true" outlineLevel="0" collapsed="false">
      <c r="A93" s="31" t="s">
        <v>134</v>
      </c>
      <c r="B93" s="39" t="n">
        <v>-0.2</v>
      </c>
      <c r="C93" s="4"/>
      <c r="D93" s="8" t="str">
        <f aca="false">IF(C93="Sí",$D$77*B93,"")</f>
        <v/>
      </c>
    </row>
    <row r="94" customFormat="false" ht="15.75" hidden="false" customHeight="true" outlineLevel="0" collapsed="false">
      <c r="A94" s="31" t="s">
        <v>135</v>
      </c>
      <c r="B94" s="39" t="n">
        <v>-1</v>
      </c>
      <c r="C94" s="4"/>
      <c r="D94" s="8" t="str">
        <f aca="false">IF(C94="Sí",$D$77*B94,"")</f>
        <v/>
      </c>
    </row>
    <row r="95" customFormat="false" ht="15.75" hidden="false" customHeight="true" outlineLevel="0" collapsed="false">
      <c r="A95" s="31" t="s">
        <v>136</v>
      </c>
      <c r="B95" s="39" t="n">
        <v>-0.75</v>
      </c>
      <c r="C95" s="4"/>
      <c r="D95" s="8" t="str">
        <f aca="false">IF(C95="Sí",$D$77*B95,"")</f>
        <v/>
      </c>
    </row>
    <row r="96" customFormat="false" ht="15.75" hidden="false" customHeight="true" outlineLevel="0" collapsed="false">
      <c r="A96" s="31" t="s">
        <v>137</v>
      </c>
      <c r="B96" s="39" t="n">
        <v>-0.75</v>
      </c>
      <c r="C96" s="4"/>
      <c r="D96" s="8" t="str">
        <f aca="false">IF(C96="Sí",$D$77*B96,"")</f>
        <v/>
      </c>
    </row>
    <row r="97" customFormat="false" ht="15.75" hidden="false" customHeight="true" outlineLevel="0" collapsed="false">
      <c r="A97" s="31" t="s">
        <v>138</v>
      </c>
      <c r="B97" s="39" t="n">
        <v>-1</v>
      </c>
      <c r="C97" s="4"/>
      <c r="D97" s="8" t="str">
        <f aca="false">IF(C97="Sí",$D$77*B97,"")</f>
        <v/>
      </c>
    </row>
    <row r="98" customFormat="false" ht="15.75" hidden="false" customHeight="true" outlineLevel="0" collapsed="false">
      <c r="A98" s="31" t="s">
        <v>139</v>
      </c>
      <c r="B98" s="39" t="n">
        <v>-0.5</v>
      </c>
      <c r="C98" s="4"/>
      <c r="D98" s="8" t="str">
        <f aca="false">IF(C98="Sí",$D$77*B98,"")</f>
        <v/>
      </c>
    </row>
    <row r="99" customFormat="false" ht="15.75" hidden="false" customHeight="true" outlineLevel="0" collapsed="false">
      <c r="A99" s="31" t="s">
        <v>140</v>
      </c>
      <c r="B99" s="39" t="n">
        <v>-1</v>
      </c>
      <c r="C99" s="4"/>
      <c r="D99" s="8" t="str">
        <f aca="false">IF(C99="Sí",$D$77*B99,"")</f>
        <v/>
      </c>
    </row>
    <row r="100" customFormat="false" ht="15.75" hidden="false" customHeight="true" outlineLevel="0" collapsed="false">
      <c r="A100" s="31" t="s">
        <v>141</v>
      </c>
      <c r="B100" s="39" t="n">
        <v>-1</v>
      </c>
      <c r="C100" s="4"/>
      <c r="D100" s="8" t="str">
        <f aca="false">IF(C100="Sí",$D$77*B100,"")</f>
        <v/>
      </c>
    </row>
    <row r="101" customFormat="false" ht="15.75" hidden="false" customHeight="true" outlineLevel="0" collapsed="false">
      <c r="A101" s="31" t="s">
        <v>142</v>
      </c>
      <c r="B101" s="39" t="n">
        <v>-0.25</v>
      </c>
      <c r="C101" s="4"/>
      <c r="D101" s="8" t="str">
        <f aca="false">IF(C101="Sí",$D$77*B101,"")</f>
        <v/>
      </c>
    </row>
    <row r="102" customFormat="false" ht="15.75" hidden="false" customHeight="true" outlineLevel="0" collapsed="false">
      <c r="A102" s="31" t="s">
        <v>143</v>
      </c>
      <c r="B102" s="39" t="n">
        <v>-1</v>
      </c>
      <c r="C102" s="4"/>
      <c r="D102" s="8" t="str">
        <f aca="false">IF(C102="Sí",$D$77*B102,"")</f>
        <v/>
      </c>
    </row>
    <row r="103" customFormat="false" ht="15.75" hidden="false" customHeight="true" outlineLevel="0" collapsed="false">
      <c r="A103" s="31" t="s">
        <v>144</v>
      </c>
      <c r="B103" s="39" t="n">
        <v>-1</v>
      </c>
      <c r="C103" s="4"/>
      <c r="D103" s="8" t="str">
        <f aca="false">IF(C103="Sí",$D$77*B103,"")</f>
        <v/>
      </c>
    </row>
    <row r="104" customFormat="false" ht="15.75" hidden="false" customHeight="true" outlineLevel="0" collapsed="false">
      <c r="A104" s="31" t="s">
        <v>145</v>
      </c>
      <c r="B104" s="39" t="n">
        <v>-1</v>
      </c>
      <c r="C104" s="4"/>
      <c r="D104" s="8" t="str">
        <f aca="false">IF(C104="Sí",$D$77*B104,"")</f>
        <v/>
      </c>
    </row>
    <row r="105" customFormat="false" ht="15.75" hidden="false" customHeight="true" outlineLevel="0" collapsed="false">
      <c r="A105" s="31" t="s">
        <v>146</v>
      </c>
      <c r="B105" s="39" t="n">
        <v>-1</v>
      </c>
      <c r="C105" s="4"/>
      <c r="D105" s="8" t="str">
        <f aca="false">IF(C105="Sí",$D$77*B105,"")</f>
        <v/>
      </c>
    </row>
    <row r="106" customFormat="false" ht="15.75" hidden="false" customHeight="true" outlineLevel="0" collapsed="false">
      <c r="A106" s="34" t="s">
        <v>147</v>
      </c>
      <c r="B106" s="36"/>
      <c r="C106" s="36"/>
      <c r="D106" s="16" t="str">
        <f aca="false">IF(SUM(D90:D105)=0,"",SUM(D90:D105))</f>
        <v/>
      </c>
    </row>
    <row r="107" customFormat="false" ht="1.5" hidden="false" customHeight="true" outlineLevel="0" collapsed="false">
      <c r="A107" s="18"/>
      <c r="B107" s="18"/>
      <c r="C107" s="18"/>
      <c r="D107" s="18"/>
    </row>
    <row r="108" customFormat="false" ht="21.75" hidden="false" customHeight="true" outlineLevel="0" collapsed="false">
      <c r="A108" s="40" t="s">
        <v>148</v>
      </c>
      <c r="B108" s="41"/>
      <c r="C108" s="41"/>
      <c r="D108" s="42" t="e">
        <f aca="false">IF(MAX(0,ROUND($D$77+$D$106,2))=0,"",MAX(0,ROUND($D$77+$D$106,2)))</f>
        <v>#VALUE!</v>
      </c>
    </row>
    <row r="109" customFormat="false" ht="1.5" hidden="false" customHeight="true" outlineLevel="0" collapsed="false">
      <c r="A109" s="18"/>
      <c r="B109" s="18"/>
      <c r="C109" s="18"/>
      <c r="D109" s="18"/>
    </row>
    <row r="110" customFormat="false" ht="15.75" hidden="false" customHeight="true" outlineLevel="0" collapsed="false">
      <c r="A110" s="43" t="s">
        <v>149</v>
      </c>
      <c r="B110" s="18"/>
      <c r="C110" s="18"/>
      <c r="D110" s="18"/>
    </row>
    <row r="111" customFormat="false" ht="18" hidden="false" customHeight="true" outlineLevel="0" collapsed="false">
      <c r="A111" s="37"/>
      <c r="B111" s="37"/>
      <c r="C111" s="37"/>
      <c r="D111" s="37"/>
    </row>
    <row r="112" customFormat="false" ht="18" hidden="false" customHeight="true" outlineLevel="0" collapsed="false">
      <c r="A112" s="37"/>
      <c r="B112" s="37"/>
      <c r="C112" s="37"/>
      <c r="D112" s="37"/>
    </row>
    <row r="113" customFormat="false" ht="3" hidden="false" customHeight="true" outlineLevel="0" collapsed="false">
      <c r="A113" s="18"/>
      <c r="B113" s="18"/>
      <c r="C113" s="18"/>
      <c r="D113" s="18"/>
    </row>
    <row r="114" customFormat="false" ht="12" hidden="false" customHeight="true" outlineLevel="0" collapsed="false">
      <c r="A114" s="18"/>
      <c r="B114" s="18"/>
      <c r="C114" s="18"/>
      <c r="D114" s="18"/>
    </row>
    <row r="115" customFormat="false" ht="8.25" hidden="false" customHeight="true" outlineLevel="0" collapsed="false">
      <c r="A115" s="44" t="s">
        <v>150</v>
      </c>
      <c r="B115" s="18"/>
      <c r="C115" s="44" t="s">
        <v>150</v>
      </c>
      <c r="D115" s="18"/>
    </row>
    <row r="116" customFormat="false" ht="13.5" hidden="false" customHeight="true" outlineLevel="0" collapsed="false">
      <c r="A116" s="44" t="s">
        <v>151</v>
      </c>
      <c r="B116" s="18"/>
      <c r="C116" s="44" t="s">
        <v>152</v>
      </c>
      <c r="D116" s="18"/>
    </row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</sheetData>
  <mergeCells count="8">
    <mergeCell ref="A8:D8"/>
    <mergeCell ref="A10:B10"/>
    <mergeCell ref="C10:D10"/>
    <mergeCell ref="A11:B11"/>
    <mergeCell ref="C11:D11"/>
    <mergeCell ref="A12:B12"/>
    <mergeCell ref="A111:D111"/>
    <mergeCell ref="A112:D112"/>
  </mergeCells>
  <conditionalFormatting sqref="D15:D76">
    <cfRule type="cellIs" priority="2" operator="greaterThan" aboveAverage="0" equalAverage="0" bottom="0" percent="0" rank="0" text="" dxfId="10">
      <formula>B15</formula>
    </cfRule>
  </conditionalFormatting>
  <dataValidations count="1">
    <dataValidation allowBlank="true" errorStyle="stop" operator="equal" showDropDown="false" showErrorMessage="false" showInputMessage="false" sqref="B81:B86 C90:C105" type="list">
      <formula1>"Sí,No"</formula1>
      <formula2>0</formula2>
    </dataValidation>
  </dataValidations>
  <printOptions headings="false" gridLines="false" gridLinesSet="true" horizontalCentered="true" verticalCentered="false"/>
  <pageMargins left="0.39375" right="0.39375" top="0.196527777777778" bottom="0.196527777777778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86"/>
  <sheetViews>
    <sheetView showFormulas="false" showGridLines="fals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C11" activeCellId="0" sqref="C1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87.43"/>
    <col collapsed="false" customWidth="true" hidden="false" outlineLevel="0" max="2" min="2" style="1" width="11"/>
    <col collapsed="false" customWidth="true" hidden="false" outlineLevel="0" max="3" min="3" style="1" width="34"/>
    <col collapsed="false" customWidth="true" hidden="false" outlineLevel="0" max="4" min="4" style="1" width="11"/>
    <col collapsed="false" customWidth="true" hidden="false" outlineLevel="0" max="26" min="5" style="1" width="8.71"/>
  </cols>
  <sheetData>
    <row r="1" customFormat="false" ht="13.8" hidden="false" customHeight="false" outlineLevel="0" collapsed="false">
      <c r="A1" s="17" t="s">
        <v>41</v>
      </c>
      <c r="B1" s="18"/>
      <c r="C1" s="18"/>
      <c r="D1" s="18"/>
    </row>
    <row r="2" customFormat="false" ht="13.8" hidden="false" customHeight="false" outlineLevel="0" collapsed="false">
      <c r="A2" s="17" t="s">
        <v>42</v>
      </c>
      <c r="B2" s="18"/>
      <c r="C2" s="18"/>
      <c r="D2" s="18"/>
    </row>
    <row r="3" customFormat="false" ht="13.8" hidden="false" customHeight="false" outlineLevel="0" collapsed="false">
      <c r="A3" s="17" t="s">
        <v>43</v>
      </c>
      <c r="B3" s="18"/>
      <c r="C3" s="18"/>
      <c r="D3" s="18"/>
    </row>
    <row r="4" customFormat="false" ht="13.8" hidden="false" customHeight="false" outlineLevel="0" collapsed="false">
      <c r="A4" s="17" t="s">
        <v>44</v>
      </c>
      <c r="B4" s="18"/>
      <c r="C4" s="18"/>
      <c r="D4" s="18"/>
    </row>
    <row r="5" customFormat="false" ht="13.8" hidden="false" customHeight="false" outlineLevel="0" collapsed="false">
      <c r="A5" s="17" t="s">
        <v>45</v>
      </c>
      <c r="B5" s="18"/>
      <c r="C5" s="18"/>
      <c r="D5" s="18"/>
    </row>
    <row r="6" customFormat="false" ht="13.8" hidden="false" customHeight="false" outlineLevel="0" collapsed="false">
      <c r="A6" s="17" t="s">
        <v>46</v>
      </c>
      <c r="B6" s="18"/>
      <c r="C6" s="18"/>
      <c r="D6" s="18"/>
    </row>
    <row r="7" customFormat="false" ht="13.8" hidden="false" customHeight="false" outlineLevel="0" collapsed="false">
      <c r="A7" s="17"/>
      <c r="B7" s="18"/>
      <c r="C7" s="18"/>
      <c r="D7" s="18"/>
    </row>
    <row r="8" customFormat="false" ht="13.8" hidden="false" customHeight="false" outlineLevel="0" collapsed="false">
      <c r="A8" s="19" t="s">
        <v>47</v>
      </c>
      <c r="B8" s="19"/>
      <c r="C8" s="19"/>
      <c r="D8" s="19"/>
    </row>
    <row r="9" customFormat="false" ht="13.8" hidden="false" customHeight="false" outlineLevel="0" collapsed="false">
      <c r="A9" s="20"/>
      <c r="B9" s="20"/>
      <c r="C9" s="20"/>
      <c r="D9" s="20"/>
    </row>
    <row r="10" customFormat="false" ht="13.8" hidden="false" customHeight="false" outlineLevel="0" collapsed="false">
      <c r="A10" s="21" t="s">
        <v>48</v>
      </c>
      <c r="B10" s="21"/>
      <c r="C10" s="22" t="n">
        <v>46283</v>
      </c>
      <c r="D10" s="22"/>
    </row>
    <row r="11" customFormat="false" ht="13.8" hidden="false" customHeight="false" outlineLevel="0" collapsed="false">
      <c r="A11" s="21" t="s">
        <v>49</v>
      </c>
      <c r="B11" s="21"/>
      <c r="C11" s="23" t="str">
        <f aca="false">VLOOKUP(C12, Consolidado!$B$3:$C$26, 2, 0)</f>
        <v>ESVIN FERNANDO ORTEGA GONZÁLEZ</v>
      </c>
      <c r="D11" s="23"/>
    </row>
    <row r="12" customFormat="false" ht="13.8" hidden="false" customHeight="false" outlineLevel="0" collapsed="false">
      <c r="A12" s="21" t="s">
        <v>50</v>
      </c>
      <c r="B12" s="21"/>
      <c r="C12" s="23" t="n">
        <v>202400155</v>
      </c>
      <c r="D12" s="23"/>
    </row>
    <row r="13" customFormat="false" ht="13.8" hidden="false" customHeight="false" outlineLevel="0" collapsed="false">
      <c r="A13" s="18"/>
      <c r="B13" s="18"/>
      <c r="C13" s="18"/>
      <c r="D13" s="18"/>
    </row>
    <row r="14" customFormat="false" ht="19.5" hidden="false" customHeight="true" outlineLevel="0" collapsed="false">
      <c r="A14" s="24" t="s">
        <v>51</v>
      </c>
      <c r="B14" s="24" t="s">
        <v>52</v>
      </c>
      <c r="C14" s="24" t="s">
        <v>53</v>
      </c>
      <c r="D14" s="24" t="s">
        <v>54</v>
      </c>
    </row>
    <row r="15" customFormat="false" ht="19.5" hidden="false" customHeight="true" outlineLevel="0" collapsed="false">
      <c r="A15" s="25" t="s">
        <v>55</v>
      </c>
      <c r="B15" s="26" t="n">
        <f aca="false">B16+B21+B25</f>
        <v>20</v>
      </c>
      <c r="C15" s="25"/>
      <c r="D15" s="27" t="n">
        <f aca="false">IF(D16+D21+D25=0,"",D16+D21+D25)</f>
        <v>18</v>
      </c>
    </row>
    <row r="16" customFormat="false" ht="18" hidden="false" customHeight="true" outlineLevel="0" collapsed="false">
      <c r="A16" s="28" t="s">
        <v>56</v>
      </c>
      <c r="B16" s="29" t="n">
        <f aca="false">SUM(B17:B20)</f>
        <v>8</v>
      </c>
      <c r="C16" s="28"/>
      <c r="D16" s="30" t="n">
        <f aca="false">SUM(D17:D20)</f>
        <v>6</v>
      </c>
    </row>
    <row r="17" customFormat="false" ht="15" hidden="false" customHeight="true" outlineLevel="0" collapsed="false">
      <c r="A17" s="31" t="s">
        <v>57</v>
      </c>
      <c r="B17" s="32" t="n">
        <v>2</v>
      </c>
      <c r="C17" s="31"/>
      <c r="D17" s="33" t="n">
        <v>2</v>
      </c>
    </row>
    <row r="18" customFormat="false" ht="15" hidden="false" customHeight="true" outlineLevel="0" collapsed="false">
      <c r="A18" s="31" t="s">
        <v>58</v>
      </c>
      <c r="B18" s="32" t="n">
        <v>2</v>
      </c>
      <c r="C18" s="31"/>
      <c r="D18" s="33" t="n">
        <v>2</v>
      </c>
    </row>
    <row r="19" customFormat="false" ht="15" hidden="false" customHeight="true" outlineLevel="0" collapsed="false">
      <c r="A19" s="31" t="s">
        <v>59</v>
      </c>
      <c r="B19" s="32" t="n">
        <v>2</v>
      </c>
      <c r="C19" s="31"/>
      <c r="D19" s="33" t="n">
        <v>2</v>
      </c>
    </row>
    <row r="20" customFormat="false" ht="15" hidden="false" customHeight="true" outlineLevel="0" collapsed="false">
      <c r="A20" s="31" t="s">
        <v>60</v>
      </c>
      <c r="B20" s="32" t="n">
        <v>2</v>
      </c>
      <c r="C20" s="31"/>
      <c r="D20" s="33" t="n">
        <v>0</v>
      </c>
    </row>
    <row r="21" customFormat="false" ht="18" hidden="false" customHeight="true" outlineLevel="0" collapsed="false">
      <c r="A21" s="28" t="s">
        <v>61</v>
      </c>
      <c r="B21" s="29" t="n">
        <f aca="false">SUM(B22:B24)</f>
        <v>6</v>
      </c>
      <c r="C21" s="28"/>
      <c r="D21" s="30" t="n">
        <f aca="false">SUM(D22:D24)</f>
        <v>6</v>
      </c>
    </row>
    <row r="22" customFormat="false" ht="15" hidden="false" customHeight="true" outlineLevel="0" collapsed="false">
      <c r="A22" s="31" t="s">
        <v>62</v>
      </c>
      <c r="B22" s="32" t="n">
        <v>2</v>
      </c>
      <c r="C22" s="31"/>
      <c r="D22" s="33" t="n">
        <v>2</v>
      </c>
    </row>
    <row r="23" customFormat="false" ht="15" hidden="false" customHeight="true" outlineLevel="0" collapsed="false">
      <c r="A23" s="31" t="s">
        <v>63</v>
      </c>
      <c r="B23" s="32" t="n">
        <v>2</v>
      </c>
      <c r="C23" s="31"/>
      <c r="D23" s="33" t="n">
        <v>2</v>
      </c>
    </row>
    <row r="24" customFormat="false" ht="15" hidden="false" customHeight="true" outlineLevel="0" collapsed="false">
      <c r="A24" s="31" t="s">
        <v>64</v>
      </c>
      <c r="B24" s="32" t="n">
        <v>2</v>
      </c>
      <c r="C24" s="31"/>
      <c r="D24" s="33" t="n">
        <v>2</v>
      </c>
    </row>
    <row r="25" customFormat="false" ht="18" hidden="false" customHeight="true" outlineLevel="0" collapsed="false">
      <c r="A25" s="28" t="s">
        <v>65</v>
      </c>
      <c r="B25" s="29" t="n">
        <f aca="false">SUM(B26:B28)</f>
        <v>6</v>
      </c>
      <c r="C25" s="28"/>
      <c r="D25" s="30" t="n">
        <f aca="false">SUM(D26:D28)</f>
        <v>6</v>
      </c>
    </row>
    <row r="26" customFormat="false" ht="16.5" hidden="false" customHeight="true" outlineLevel="0" collapsed="false">
      <c r="A26" s="31" t="s">
        <v>66</v>
      </c>
      <c r="B26" s="32" t="n">
        <v>2</v>
      </c>
      <c r="C26" s="31"/>
      <c r="D26" s="33" t="n">
        <v>2</v>
      </c>
    </row>
    <row r="27" customFormat="false" ht="15" hidden="false" customHeight="true" outlineLevel="0" collapsed="false">
      <c r="A27" s="31" t="s">
        <v>67</v>
      </c>
      <c r="B27" s="32" t="n">
        <v>2</v>
      </c>
      <c r="C27" s="31"/>
      <c r="D27" s="33" t="n">
        <v>2</v>
      </c>
    </row>
    <row r="28" customFormat="false" ht="15" hidden="false" customHeight="true" outlineLevel="0" collapsed="false">
      <c r="A28" s="31" t="s">
        <v>68</v>
      </c>
      <c r="B28" s="32" t="n">
        <v>2</v>
      </c>
      <c r="C28" s="31"/>
      <c r="D28" s="33" t="n">
        <v>2</v>
      </c>
    </row>
    <row r="29" customFormat="false" ht="19.5" hidden="false" customHeight="true" outlineLevel="0" collapsed="false">
      <c r="A29" s="25" t="s">
        <v>69</v>
      </c>
      <c r="B29" s="26" t="n">
        <f aca="false">B30+B34+B40+B44+B49+B53+B58+B63</f>
        <v>55</v>
      </c>
      <c r="C29" s="25"/>
      <c r="D29" s="27" t="n">
        <f aca="false">IF(D30+D34+D40+D44+D49+D53+D58+D63=0,"",D30+D34+D40+D44+D49+D53+D58+D63)</f>
        <v>47</v>
      </c>
    </row>
    <row r="30" customFormat="false" ht="18" hidden="false" customHeight="true" outlineLevel="0" collapsed="false">
      <c r="A30" s="28" t="s">
        <v>70</v>
      </c>
      <c r="B30" s="29" t="n">
        <f aca="false">SUM(B31:B33)</f>
        <v>5</v>
      </c>
      <c r="C30" s="28"/>
      <c r="D30" s="30" t="n">
        <f aca="false">SUM(D31:D33)</f>
        <v>2</v>
      </c>
    </row>
    <row r="31" customFormat="false" ht="15" hidden="false" customHeight="true" outlineLevel="0" collapsed="false">
      <c r="A31" s="31" t="s">
        <v>71</v>
      </c>
      <c r="B31" s="32" t="n">
        <v>2</v>
      </c>
      <c r="C31" s="31"/>
      <c r="D31" s="33" t="n">
        <v>2</v>
      </c>
    </row>
    <row r="32" customFormat="false" ht="15" hidden="false" customHeight="true" outlineLevel="0" collapsed="false">
      <c r="A32" s="31" t="s">
        <v>72</v>
      </c>
      <c r="B32" s="32" t="n">
        <v>2</v>
      </c>
      <c r="C32" s="31"/>
      <c r="D32" s="33" t="n">
        <v>0</v>
      </c>
    </row>
    <row r="33" customFormat="false" ht="15" hidden="false" customHeight="true" outlineLevel="0" collapsed="false">
      <c r="A33" s="31" t="s">
        <v>73</v>
      </c>
      <c r="B33" s="32" t="n">
        <v>1</v>
      </c>
      <c r="C33" s="31"/>
      <c r="D33" s="33" t="n">
        <v>0</v>
      </c>
    </row>
    <row r="34" customFormat="false" ht="18" hidden="false" customHeight="true" outlineLevel="0" collapsed="false">
      <c r="A34" s="28" t="s">
        <v>74</v>
      </c>
      <c r="B34" s="29" t="n">
        <f aca="false">SUM(B35:B39)</f>
        <v>10</v>
      </c>
      <c r="C34" s="28"/>
      <c r="D34" s="30" t="n">
        <f aca="false">SUM(D35:D39)</f>
        <v>10</v>
      </c>
    </row>
    <row r="35" customFormat="false" ht="15" hidden="false" customHeight="true" outlineLevel="0" collapsed="false">
      <c r="A35" s="31" t="s">
        <v>75</v>
      </c>
      <c r="B35" s="32" t="n">
        <v>3</v>
      </c>
      <c r="C35" s="31"/>
      <c r="D35" s="33" t="n">
        <v>3</v>
      </c>
    </row>
    <row r="36" customFormat="false" ht="15" hidden="false" customHeight="true" outlineLevel="0" collapsed="false">
      <c r="A36" s="31" t="s">
        <v>76</v>
      </c>
      <c r="B36" s="32" t="n">
        <v>2</v>
      </c>
      <c r="C36" s="31"/>
      <c r="D36" s="33" t="n">
        <v>2</v>
      </c>
    </row>
    <row r="37" customFormat="false" ht="15" hidden="false" customHeight="true" outlineLevel="0" collapsed="false">
      <c r="A37" s="31" t="s">
        <v>77</v>
      </c>
      <c r="B37" s="32" t="n">
        <v>2</v>
      </c>
      <c r="C37" s="31"/>
      <c r="D37" s="33" t="n">
        <v>2</v>
      </c>
    </row>
    <row r="38" customFormat="false" ht="15" hidden="false" customHeight="true" outlineLevel="0" collapsed="false">
      <c r="A38" s="31" t="s">
        <v>78</v>
      </c>
      <c r="B38" s="32" t="n">
        <v>1</v>
      </c>
      <c r="C38" s="31"/>
      <c r="D38" s="33" t="n">
        <v>1</v>
      </c>
    </row>
    <row r="39" customFormat="false" ht="15" hidden="false" customHeight="true" outlineLevel="0" collapsed="false">
      <c r="A39" s="31" t="s">
        <v>79</v>
      </c>
      <c r="B39" s="32" t="n">
        <v>2</v>
      </c>
      <c r="C39" s="31"/>
      <c r="D39" s="33" t="n">
        <v>2</v>
      </c>
    </row>
    <row r="40" customFormat="false" ht="18" hidden="false" customHeight="true" outlineLevel="0" collapsed="false">
      <c r="A40" s="28" t="s">
        <v>80</v>
      </c>
      <c r="B40" s="29" t="n">
        <f aca="false">SUM(B41:B43)</f>
        <v>6</v>
      </c>
      <c r="C40" s="28"/>
      <c r="D40" s="30" t="n">
        <f aca="false">SUM(D41:D43)</f>
        <v>6</v>
      </c>
    </row>
    <row r="41" customFormat="false" ht="15" hidden="false" customHeight="true" outlineLevel="0" collapsed="false">
      <c r="A41" s="31" t="s">
        <v>81</v>
      </c>
      <c r="B41" s="32" t="n">
        <v>2</v>
      </c>
      <c r="C41" s="31"/>
      <c r="D41" s="33" t="n">
        <v>2</v>
      </c>
    </row>
    <row r="42" customFormat="false" ht="15" hidden="false" customHeight="true" outlineLevel="0" collapsed="false">
      <c r="A42" s="31" t="s">
        <v>82</v>
      </c>
      <c r="B42" s="32" t="n">
        <v>2</v>
      </c>
      <c r="C42" s="31"/>
      <c r="D42" s="33" t="n">
        <v>2</v>
      </c>
    </row>
    <row r="43" customFormat="false" ht="15" hidden="false" customHeight="true" outlineLevel="0" collapsed="false">
      <c r="A43" s="31" t="s">
        <v>83</v>
      </c>
      <c r="B43" s="32" t="n">
        <v>2</v>
      </c>
      <c r="C43" s="31"/>
      <c r="D43" s="33" t="n">
        <v>2</v>
      </c>
    </row>
    <row r="44" customFormat="false" ht="18" hidden="false" customHeight="true" outlineLevel="0" collapsed="false">
      <c r="A44" s="28" t="s">
        <v>84</v>
      </c>
      <c r="B44" s="29" t="n">
        <f aca="false">SUM(B45:B48)</f>
        <v>8</v>
      </c>
      <c r="C44" s="28"/>
      <c r="D44" s="30" t="n">
        <f aca="false">SUM(D45:D48)</f>
        <v>8</v>
      </c>
    </row>
    <row r="45" customFormat="false" ht="15" hidden="false" customHeight="true" outlineLevel="0" collapsed="false">
      <c r="A45" s="31" t="s">
        <v>85</v>
      </c>
      <c r="B45" s="32" t="n">
        <v>2</v>
      </c>
      <c r="C45" s="31"/>
      <c r="D45" s="33" t="n">
        <v>2</v>
      </c>
    </row>
    <row r="46" customFormat="false" ht="15" hidden="false" customHeight="true" outlineLevel="0" collapsed="false">
      <c r="A46" s="31" t="s">
        <v>86</v>
      </c>
      <c r="B46" s="32" t="n">
        <v>3</v>
      </c>
      <c r="C46" s="31"/>
      <c r="D46" s="33" t="n">
        <v>3</v>
      </c>
    </row>
    <row r="47" customFormat="false" ht="15" hidden="false" customHeight="true" outlineLevel="0" collapsed="false">
      <c r="A47" s="31" t="s">
        <v>87</v>
      </c>
      <c r="B47" s="32" t="n">
        <v>2</v>
      </c>
      <c r="C47" s="31"/>
      <c r="D47" s="33" t="n">
        <v>2</v>
      </c>
    </row>
    <row r="48" customFormat="false" ht="15" hidden="false" customHeight="true" outlineLevel="0" collapsed="false">
      <c r="A48" s="31" t="s">
        <v>88</v>
      </c>
      <c r="B48" s="32" t="n">
        <v>1</v>
      </c>
      <c r="C48" s="31"/>
      <c r="D48" s="33" t="n">
        <v>1</v>
      </c>
    </row>
    <row r="49" customFormat="false" ht="18" hidden="false" customHeight="true" outlineLevel="0" collapsed="false">
      <c r="A49" s="28" t="s">
        <v>89</v>
      </c>
      <c r="B49" s="29" t="n">
        <f aca="false">SUM(B50:B52)</f>
        <v>6</v>
      </c>
      <c r="C49" s="28"/>
      <c r="D49" s="30" t="n">
        <f aca="false">SUM(D50:D52)</f>
        <v>5</v>
      </c>
    </row>
    <row r="50" customFormat="false" ht="15" hidden="false" customHeight="true" outlineLevel="0" collapsed="false">
      <c r="A50" s="31" t="s">
        <v>90</v>
      </c>
      <c r="B50" s="32" t="n">
        <v>2</v>
      </c>
      <c r="C50" s="31"/>
      <c r="D50" s="33" t="n">
        <v>2</v>
      </c>
    </row>
    <row r="51" customFormat="false" ht="15" hidden="false" customHeight="true" outlineLevel="0" collapsed="false">
      <c r="A51" s="31" t="s">
        <v>91</v>
      </c>
      <c r="B51" s="32" t="n">
        <v>2</v>
      </c>
      <c r="C51" s="31"/>
      <c r="D51" s="33" t="n">
        <v>1</v>
      </c>
    </row>
    <row r="52" customFormat="false" ht="15" hidden="false" customHeight="true" outlineLevel="0" collapsed="false">
      <c r="A52" s="31" t="s">
        <v>92</v>
      </c>
      <c r="B52" s="32" t="n">
        <v>2</v>
      </c>
      <c r="C52" s="31"/>
      <c r="D52" s="33" t="n">
        <v>2</v>
      </c>
    </row>
    <row r="53" customFormat="false" ht="18" hidden="false" customHeight="true" outlineLevel="0" collapsed="false">
      <c r="A53" s="28" t="s">
        <v>93</v>
      </c>
      <c r="B53" s="29" t="n">
        <f aca="false">SUM(B54:B57)</f>
        <v>8</v>
      </c>
      <c r="C53" s="28"/>
      <c r="D53" s="30" t="n">
        <f aca="false">SUM(D54:D57)</f>
        <v>7</v>
      </c>
    </row>
    <row r="54" customFormat="false" ht="15" hidden="false" customHeight="true" outlineLevel="0" collapsed="false">
      <c r="A54" s="31" t="s">
        <v>94</v>
      </c>
      <c r="B54" s="32" t="n">
        <v>2</v>
      </c>
      <c r="C54" s="31"/>
      <c r="D54" s="33" t="n">
        <v>2</v>
      </c>
    </row>
    <row r="55" customFormat="false" ht="15" hidden="false" customHeight="true" outlineLevel="0" collapsed="false">
      <c r="A55" s="31" t="s">
        <v>95</v>
      </c>
      <c r="B55" s="32" t="n">
        <v>3</v>
      </c>
      <c r="C55" s="31"/>
      <c r="D55" s="33" t="n">
        <v>2</v>
      </c>
    </row>
    <row r="56" customFormat="false" ht="15" hidden="false" customHeight="true" outlineLevel="0" collapsed="false">
      <c r="A56" s="31" t="s">
        <v>96</v>
      </c>
      <c r="B56" s="32" t="n">
        <v>2</v>
      </c>
      <c r="C56" s="31"/>
      <c r="D56" s="33" t="n">
        <v>2</v>
      </c>
    </row>
    <row r="57" customFormat="false" ht="15" hidden="false" customHeight="true" outlineLevel="0" collapsed="false">
      <c r="A57" s="31" t="s">
        <v>97</v>
      </c>
      <c r="B57" s="32" t="n">
        <v>1</v>
      </c>
      <c r="C57" s="31"/>
      <c r="D57" s="33" t="n">
        <v>1</v>
      </c>
    </row>
    <row r="58" customFormat="false" ht="18" hidden="false" customHeight="true" outlineLevel="0" collapsed="false">
      <c r="A58" s="28" t="s">
        <v>98</v>
      </c>
      <c r="B58" s="29" t="n">
        <f aca="false">SUM(B59:B62)</f>
        <v>6</v>
      </c>
      <c r="C58" s="28"/>
      <c r="D58" s="30" t="n">
        <f aca="false">SUM(D59:D62)</f>
        <v>3</v>
      </c>
    </row>
    <row r="59" customFormat="false" ht="15" hidden="false" customHeight="true" outlineLevel="0" collapsed="false">
      <c r="A59" s="31" t="s">
        <v>99</v>
      </c>
      <c r="B59" s="32" t="n">
        <v>2</v>
      </c>
      <c r="C59" s="31"/>
      <c r="D59" s="33" t="n">
        <v>2</v>
      </c>
    </row>
    <row r="60" customFormat="false" ht="15" hidden="false" customHeight="true" outlineLevel="0" collapsed="false">
      <c r="A60" s="31" t="s">
        <v>100</v>
      </c>
      <c r="B60" s="32" t="n">
        <v>2</v>
      </c>
      <c r="C60" s="31"/>
      <c r="D60" s="33" t="n">
        <v>0</v>
      </c>
    </row>
    <row r="61" customFormat="false" ht="15" hidden="false" customHeight="true" outlineLevel="0" collapsed="false">
      <c r="A61" s="31" t="s">
        <v>101</v>
      </c>
      <c r="B61" s="32" t="n">
        <v>1</v>
      </c>
      <c r="C61" s="31"/>
      <c r="D61" s="33" t="n">
        <v>0</v>
      </c>
    </row>
    <row r="62" customFormat="false" ht="15" hidden="false" customHeight="true" outlineLevel="0" collapsed="false">
      <c r="A62" s="31" t="s">
        <v>102</v>
      </c>
      <c r="B62" s="32" t="n">
        <v>1</v>
      </c>
      <c r="C62" s="31"/>
      <c r="D62" s="33" t="n">
        <v>1</v>
      </c>
    </row>
    <row r="63" customFormat="false" ht="15" hidden="false" customHeight="true" outlineLevel="0" collapsed="false">
      <c r="A63" s="28" t="s">
        <v>103</v>
      </c>
      <c r="B63" s="29" t="n">
        <f aca="false">SUM(B64:B65)</f>
        <v>6</v>
      </c>
      <c r="C63" s="28"/>
      <c r="D63" s="30" t="n">
        <f aca="false">SUM(D64:D65)</f>
        <v>6</v>
      </c>
    </row>
    <row r="64" customFormat="false" ht="15" hidden="false" customHeight="true" outlineLevel="0" collapsed="false">
      <c r="A64" s="31" t="s">
        <v>104</v>
      </c>
      <c r="B64" s="32" t="n">
        <v>3</v>
      </c>
      <c r="C64" s="31"/>
      <c r="D64" s="33" t="n">
        <v>3</v>
      </c>
    </row>
    <row r="65" customFormat="false" ht="15" hidden="false" customHeight="true" outlineLevel="0" collapsed="false">
      <c r="A65" s="31" t="s">
        <v>105</v>
      </c>
      <c r="B65" s="32" t="n">
        <v>3</v>
      </c>
      <c r="C65" s="31"/>
      <c r="D65" s="33" t="n">
        <v>3</v>
      </c>
    </row>
    <row r="66" customFormat="false" ht="19.5" hidden="false" customHeight="true" outlineLevel="0" collapsed="false">
      <c r="A66" s="25" t="s">
        <v>106</v>
      </c>
      <c r="B66" s="26" t="n">
        <f aca="false">B67+B73</f>
        <v>25</v>
      </c>
      <c r="C66" s="25"/>
      <c r="D66" s="27" t="n">
        <f aca="false">IF(D67+D73=0,"",D67+D73)</f>
        <v>6</v>
      </c>
    </row>
    <row r="67" customFormat="false" ht="18" hidden="false" customHeight="true" outlineLevel="0" collapsed="false">
      <c r="A67" s="28" t="s">
        <v>107</v>
      </c>
      <c r="B67" s="29" t="n">
        <f aca="false">SUM(B68:B72)</f>
        <v>10</v>
      </c>
      <c r="C67" s="28"/>
      <c r="D67" s="30" t="n">
        <f aca="false">IF(SUM(D68:D72)=0,"",SUM(D68:D72))</f>
        <v>1</v>
      </c>
    </row>
    <row r="68" customFormat="false" ht="15" hidden="false" customHeight="true" outlineLevel="0" collapsed="false">
      <c r="A68" s="31" t="s">
        <v>108</v>
      </c>
      <c r="B68" s="32" t="n">
        <v>2</v>
      </c>
      <c r="C68" s="31"/>
      <c r="D68" s="33" t="n">
        <v>1</v>
      </c>
    </row>
    <row r="69" customFormat="false" ht="15" hidden="false" customHeight="true" outlineLevel="0" collapsed="false">
      <c r="A69" s="31" t="s">
        <v>109</v>
      </c>
      <c r="B69" s="32" t="n">
        <v>2</v>
      </c>
      <c r="C69" s="31"/>
      <c r="D69" s="33" t="n">
        <v>0</v>
      </c>
    </row>
    <row r="70" customFormat="false" ht="15" hidden="false" customHeight="true" outlineLevel="0" collapsed="false">
      <c r="A70" s="31" t="s">
        <v>110</v>
      </c>
      <c r="B70" s="32" t="n">
        <v>2</v>
      </c>
      <c r="C70" s="31"/>
      <c r="D70" s="33" t="n">
        <v>0</v>
      </c>
    </row>
    <row r="71" customFormat="false" ht="15" hidden="false" customHeight="true" outlineLevel="0" collapsed="false">
      <c r="A71" s="31" t="s">
        <v>111</v>
      </c>
      <c r="B71" s="32" t="n">
        <v>2</v>
      </c>
      <c r="C71" s="31"/>
      <c r="D71" s="33" t="n">
        <v>0</v>
      </c>
    </row>
    <row r="72" customFormat="false" ht="15" hidden="false" customHeight="true" outlineLevel="0" collapsed="false">
      <c r="A72" s="31" t="s">
        <v>112</v>
      </c>
      <c r="B72" s="32" t="n">
        <v>2</v>
      </c>
      <c r="C72" s="31"/>
      <c r="D72" s="33" t="n">
        <v>0</v>
      </c>
    </row>
    <row r="73" customFormat="false" ht="18" hidden="false" customHeight="true" outlineLevel="0" collapsed="false">
      <c r="A73" s="28" t="s">
        <v>113</v>
      </c>
      <c r="B73" s="29" t="n">
        <f aca="false">SUM(B74:B76)</f>
        <v>15</v>
      </c>
      <c r="C73" s="28"/>
      <c r="D73" s="30" t="n">
        <f aca="false">SUM(D74:D76)</f>
        <v>5</v>
      </c>
    </row>
    <row r="74" customFormat="false" ht="15" hidden="false" customHeight="true" outlineLevel="0" collapsed="false">
      <c r="A74" s="31" t="s">
        <v>114</v>
      </c>
      <c r="B74" s="32" t="n">
        <v>5</v>
      </c>
      <c r="C74" s="31"/>
      <c r="D74" s="33" t="n">
        <v>5</v>
      </c>
    </row>
    <row r="75" customFormat="false" ht="15" hidden="false" customHeight="true" outlineLevel="0" collapsed="false">
      <c r="A75" s="31" t="s">
        <v>115</v>
      </c>
      <c r="B75" s="32" t="n">
        <v>5</v>
      </c>
      <c r="C75" s="31"/>
      <c r="D75" s="33" t="n">
        <v>0</v>
      </c>
    </row>
    <row r="76" customFormat="false" ht="15" hidden="false" customHeight="true" outlineLevel="0" collapsed="false">
      <c r="A76" s="31" t="s">
        <v>116</v>
      </c>
      <c r="B76" s="32" t="n">
        <v>5</v>
      </c>
      <c r="C76" s="31"/>
      <c r="D76" s="33" t="n">
        <v>0</v>
      </c>
    </row>
    <row r="77" customFormat="false" ht="19.5" hidden="false" customHeight="true" outlineLevel="0" collapsed="false">
      <c r="A77" s="34" t="s">
        <v>117</v>
      </c>
      <c r="B77" s="35" t="n">
        <f aca="false">B15+B29+B66</f>
        <v>100</v>
      </c>
      <c r="C77" s="36"/>
      <c r="D77" s="16" t="n">
        <f aca="false">IF(D15+D29+D66=0,"",D15+D29+D66)</f>
        <v>71</v>
      </c>
    </row>
    <row r="78" customFormat="false" ht="1.5" hidden="false" customHeight="true" outlineLevel="0" collapsed="false">
      <c r="A78" s="18"/>
      <c r="B78" s="18"/>
      <c r="C78" s="18"/>
      <c r="D78" s="18"/>
    </row>
    <row r="79" customFormat="false" ht="15.75" hidden="false" customHeight="true" outlineLevel="0" collapsed="false">
      <c r="A79" s="17" t="s">
        <v>118</v>
      </c>
      <c r="B79" s="18"/>
      <c r="C79" s="18"/>
      <c r="D79" s="18"/>
    </row>
    <row r="80" customFormat="false" ht="15.75" hidden="false" customHeight="true" outlineLevel="0" collapsed="false">
      <c r="A80" s="24" t="s">
        <v>119</v>
      </c>
      <c r="B80" s="24" t="s">
        <v>120</v>
      </c>
      <c r="C80" s="24" t="s">
        <v>53</v>
      </c>
      <c r="D80" s="24"/>
    </row>
    <row r="81" customFormat="false" ht="15.75" hidden="false" customHeight="true" outlineLevel="0" collapsed="false">
      <c r="A81" s="31" t="s">
        <v>121</v>
      </c>
      <c r="B81" s="4"/>
      <c r="C81" s="37"/>
      <c r="D81" s="38"/>
    </row>
    <row r="82" customFormat="false" ht="15.75" hidden="false" customHeight="true" outlineLevel="0" collapsed="false">
      <c r="A82" s="31" t="s">
        <v>122</v>
      </c>
      <c r="B82" s="4"/>
      <c r="C82" s="37"/>
      <c r="D82" s="38"/>
    </row>
    <row r="83" customFormat="false" ht="15.75" hidden="false" customHeight="true" outlineLevel="0" collapsed="false">
      <c r="A83" s="31" t="s">
        <v>123</v>
      </c>
      <c r="B83" s="4"/>
      <c r="C83" s="37"/>
      <c r="D83" s="38"/>
    </row>
    <row r="84" customFormat="false" ht="15.75" hidden="false" customHeight="true" outlineLevel="0" collapsed="false">
      <c r="A84" s="31" t="s">
        <v>124</v>
      </c>
      <c r="B84" s="4"/>
      <c r="C84" s="37"/>
      <c r="D84" s="38"/>
    </row>
    <row r="85" customFormat="false" ht="15.75" hidden="false" customHeight="true" outlineLevel="0" collapsed="false">
      <c r="A85" s="31" t="s">
        <v>125</v>
      </c>
      <c r="B85" s="4"/>
      <c r="C85" s="37"/>
      <c r="D85" s="38"/>
    </row>
    <row r="86" customFormat="false" ht="15.75" hidden="false" customHeight="true" outlineLevel="0" collapsed="false">
      <c r="A86" s="31" t="s">
        <v>126</v>
      </c>
      <c r="B86" s="4"/>
      <c r="C86" s="37"/>
      <c r="D86" s="38"/>
    </row>
    <row r="87" customFormat="false" ht="1.5" hidden="false" customHeight="true" outlineLevel="0" collapsed="false">
      <c r="A87" s="18"/>
      <c r="B87" s="18"/>
      <c r="C87" s="18"/>
      <c r="D87" s="18"/>
    </row>
    <row r="88" customFormat="false" ht="15.75" hidden="false" customHeight="true" outlineLevel="0" collapsed="false">
      <c r="A88" s="17" t="s">
        <v>127</v>
      </c>
      <c r="B88" s="18"/>
      <c r="C88" s="18"/>
      <c r="D88" s="18"/>
    </row>
    <row r="89" customFormat="false" ht="15.75" hidden="false" customHeight="true" outlineLevel="0" collapsed="false">
      <c r="A89" s="24" t="s">
        <v>128</v>
      </c>
      <c r="B89" s="24" t="s">
        <v>8</v>
      </c>
      <c r="C89" s="24" t="s">
        <v>129</v>
      </c>
      <c r="D89" s="24" t="s">
        <v>130</v>
      </c>
    </row>
    <row r="90" customFormat="false" ht="15.75" hidden="false" customHeight="true" outlineLevel="0" collapsed="false">
      <c r="A90" s="31" t="s">
        <v>131</v>
      </c>
      <c r="B90" s="39" t="n">
        <v>-0.3</v>
      </c>
      <c r="C90" s="4"/>
      <c r="D90" s="8" t="str">
        <f aca="false">IF(C90="Sí",$D$77*B90,"")</f>
        <v/>
      </c>
    </row>
    <row r="91" customFormat="false" ht="15.75" hidden="false" customHeight="true" outlineLevel="0" collapsed="false">
      <c r="A91" s="31" t="s">
        <v>132</v>
      </c>
      <c r="B91" s="39" t="n">
        <v>-0.2</v>
      </c>
      <c r="C91" s="4"/>
      <c r="D91" s="8" t="str">
        <f aca="false">IF(C91="Sí",$D$77*B91,"")</f>
        <v/>
      </c>
    </row>
    <row r="92" customFormat="false" ht="15.75" hidden="false" customHeight="true" outlineLevel="0" collapsed="false">
      <c r="A92" s="31" t="s">
        <v>133</v>
      </c>
      <c r="B92" s="39" t="n">
        <v>-1</v>
      </c>
      <c r="C92" s="4"/>
      <c r="D92" s="8" t="str">
        <f aca="false">IF(C92="Sí",$D$77*B92,"")</f>
        <v/>
      </c>
    </row>
    <row r="93" customFormat="false" ht="15.75" hidden="false" customHeight="true" outlineLevel="0" collapsed="false">
      <c r="A93" s="31" t="s">
        <v>134</v>
      </c>
      <c r="B93" s="39" t="n">
        <v>-0.2</v>
      </c>
      <c r="C93" s="4"/>
      <c r="D93" s="8" t="str">
        <f aca="false">IF(C93="Sí",$D$77*B93,"")</f>
        <v/>
      </c>
    </row>
    <row r="94" customFormat="false" ht="15.75" hidden="false" customHeight="true" outlineLevel="0" collapsed="false">
      <c r="A94" s="31" t="s">
        <v>135</v>
      </c>
      <c r="B94" s="39" t="n">
        <v>-1</v>
      </c>
      <c r="C94" s="4"/>
      <c r="D94" s="8" t="str">
        <f aca="false">IF(C94="Sí",$D$77*B94,"")</f>
        <v/>
      </c>
    </row>
    <row r="95" customFormat="false" ht="15.75" hidden="false" customHeight="true" outlineLevel="0" collapsed="false">
      <c r="A95" s="31" t="s">
        <v>136</v>
      </c>
      <c r="B95" s="39" t="n">
        <v>-0.75</v>
      </c>
      <c r="C95" s="4"/>
      <c r="D95" s="8" t="str">
        <f aca="false">IF(C95="Sí",$D$77*B95,"")</f>
        <v/>
      </c>
    </row>
    <row r="96" customFormat="false" ht="15.75" hidden="false" customHeight="true" outlineLevel="0" collapsed="false">
      <c r="A96" s="31" t="s">
        <v>137</v>
      </c>
      <c r="B96" s="39" t="n">
        <v>-0.75</v>
      </c>
      <c r="C96" s="4"/>
      <c r="D96" s="8" t="str">
        <f aca="false">IF(C96="Sí",$D$77*B96,"")</f>
        <v/>
      </c>
    </row>
    <row r="97" customFormat="false" ht="15.75" hidden="false" customHeight="true" outlineLevel="0" collapsed="false">
      <c r="A97" s="31" t="s">
        <v>138</v>
      </c>
      <c r="B97" s="39" t="n">
        <v>-1</v>
      </c>
      <c r="C97" s="4"/>
      <c r="D97" s="8" t="str">
        <f aca="false">IF(C97="Sí",$D$77*B97,"")</f>
        <v/>
      </c>
    </row>
    <row r="98" customFormat="false" ht="15.75" hidden="false" customHeight="true" outlineLevel="0" collapsed="false">
      <c r="A98" s="31" t="s">
        <v>139</v>
      </c>
      <c r="B98" s="39" t="n">
        <v>-0.5</v>
      </c>
      <c r="C98" s="4"/>
      <c r="D98" s="8" t="str">
        <f aca="false">IF(C98="Sí",$D$77*B98,"")</f>
        <v/>
      </c>
    </row>
    <row r="99" customFormat="false" ht="15.75" hidden="false" customHeight="true" outlineLevel="0" collapsed="false">
      <c r="A99" s="31" t="s">
        <v>140</v>
      </c>
      <c r="B99" s="39" t="n">
        <v>-1</v>
      </c>
      <c r="C99" s="4"/>
      <c r="D99" s="8" t="str">
        <f aca="false">IF(C99="Sí",$D$77*B99,"")</f>
        <v/>
      </c>
    </row>
    <row r="100" customFormat="false" ht="15.75" hidden="false" customHeight="true" outlineLevel="0" collapsed="false">
      <c r="A100" s="31" t="s">
        <v>141</v>
      </c>
      <c r="B100" s="39" t="n">
        <v>-1</v>
      </c>
      <c r="C100" s="4"/>
      <c r="D100" s="8" t="str">
        <f aca="false">IF(C100="Sí",$D$77*B100,"")</f>
        <v/>
      </c>
    </row>
    <row r="101" customFormat="false" ht="15.75" hidden="false" customHeight="true" outlineLevel="0" collapsed="false">
      <c r="A101" s="31" t="s">
        <v>142</v>
      </c>
      <c r="B101" s="39" t="n">
        <v>-0.25</v>
      </c>
      <c r="C101" s="4"/>
      <c r="D101" s="8" t="str">
        <f aca="false">IF(C101="Sí",$D$77*B101,"")</f>
        <v/>
      </c>
    </row>
    <row r="102" customFormat="false" ht="15.75" hidden="false" customHeight="true" outlineLevel="0" collapsed="false">
      <c r="A102" s="31" t="s">
        <v>143</v>
      </c>
      <c r="B102" s="39" t="n">
        <v>-1</v>
      </c>
      <c r="C102" s="4"/>
      <c r="D102" s="8" t="str">
        <f aca="false">IF(C102="Sí",$D$77*B102,"")</f>
        <v/>
      </c>
    </row>
    <row r="103" customFormat="false" ht="15.75" hidden="false" customHeight="true" outlineLevel="0" collapsed="false">
      <c r="A103" s="31" t="s">
        <v>144</v>
      </c>
      <c r="B103" s="39" t="n">
        <v>-1</v>
      </c>
      <c r="C103" s="4"/>
      <c r="D103" s="8" t="str">
        <f aca="false">IF(C103="Sí",$D$77*B103,"")</f>
        <v/>
      </c>
    </row>
    <row r="104" customFormat="false" ht="15.75" hidden="false" customHeight="true" outlineLevel="0" collapsed="false">
      <c r="A104" s="31" t="s">
        <v>145</v>
      </c>
      <c r="B104" s="39" t="n">
        <v>-1</v>
      </c>
      <c r="C104" s="4"/>
      <c r="D104" s="8" t="str">
        <f aca="false">IF(C104="Sí",$D$77*B104,"")</f>
        <v/>
      </c>
    </row>
    <row r="105" customFormat="false" ht="15.75" hidden="false" customHeight="true" outlineLevel="0" collapsed="false">
      <c r="A105" s="31" t="s">
        <v>146</v>
      </c>
      <c r="B105" s="39" t="n">
        <v>-1</v>
      </c>
      <c r="C105" s="4"/>
      <c r="D105" s="8" t="str">
        <f aca="false">IF(C105="Sí",$D$77*B105,"")</f>
        <v/>
      </c>
    </row>
    <row r="106" customFormat="false" ht="15.75" hidden="false" customHeight="true" outlineLevel="0" collapsed="false">
      <c r="A106" s="34" t="s">
        <v>147</v>
      </c>
      <c r="B106" s="36"/>
      <c r="C106" s="36"/>
      <c r="D106" s="16" t="str">
        <f aca="false">IF(SUM(D90:D105)=0,"",SUM(D90:D105))</f>
        <v/>
      </c>
    </row>
    <row r="107" customFormat="false" ht="1.5" hidden="false" customHeight="true" outlineLevel="0" collapsed="false">
      <c r="A107" s="18"/>
      <c r="B107" s="18"/>
      <c r="C107" s="18"/>
      <c r="D107" s="18"/>
    </row>
    <row r="108" customFormat="false" ht="21.75" hidden="false" customHeight="true" outlineLevel="0" collapsed="false">
      <c r="A108" s="40" t="s">
        <v>148</v>
      </c>
      <c r="B108" s="41"/>
      <c r="C108" s="41"/>
      <c r="D108" s="42" t="e">
        <f aca="false">IF(MAX(0,ROUND($D$77+$D$106,2))=0,"",MAX(0,ROUND($D$77+$D$106,2)))</f>
        <v>#VALUE!</v>
      </c>
    </row>
    <row r="109" customFormat="false" ht="1.5" hidden="false" customHeight="true" outlineLevel="0" collapsed="false">
      <c r="A109" s="18"/>
      <c r="B109" s="18"/>
      <c r="C109" s="18"/>
      <c r="D109" s="18"/>
    </row>
    <row r="110" customFormat="false" ht="15.75" hidden="false" customHeight="true" outlineLevel="0" collapsed="false">
      <c r="A110" s="43" t="s">
        <v>149</v>
      </c>
      <c r="B110" s="18"/>
      <c r="C110" s="18"/>
      <c r="D110" s="18"/>
    </row>
    <row r="111" customFormat="false" ht="18" hidden="false" customHeight="true" outlineLevel="0" collapsed="false">
      <c r="A111" s="37"/>
      <c r="B111" s="37"/>
      <c r="C111" s="37"/>
      <c r="D111" s="37"/>
    </row>
    <row r="112" customFormat="false" ht="18" hidden="false" customHeight="true" outlineLevel="0" collapsed="false">
      <c r="A112" s="37"/>
      <c r="B112" s="37"/>
      <c r="C112" s="37"/>
      <c r="D112" s="37"/>
    </row>
    <row r="113" customFormat="false" ht="3" hidden="false" customHeight="true" outlineLevel="0" collapsed="false">
      <c r="A113" s="18"/>
      <c r="B113" s="18"/>
      <c r="C113" s="18"/>
      <c r="D113" s="18"/>
    </row>
    <row r="114" customFormat="false" ht="12" hidden="false" customHeight="true" outlineLevel="0" collapsed="false">
      <c r="A114" s="18"/>
      <c r="B114" s="18"/>
      <c r="C114" s="18"/>
      <c r="D114" s="18"/>
    </row>
    <row r="115" customFormat="false" ht="8.25" hidden="false" customHeight="true" outlineLevel="0" collapsed="false">
      <c r="A115" s="44" t="s">
        <v>150</v>
      </c>
      <c r="B115" s="18"/>
      <c r="C115" s="44" t="s">
        <v>150</v>
      </c>
      <c r="D115" s="18"/>
    </row>
    <row r="116" customFormat="false" ht="13.5" hidden="false" customHeight="true" outlineLevel="0" collapsed="false">
      <c r="A116" s="44" t="s">
        <v>151</v>
      </c>
      <c r="B116" s="18"/>
      <c r="C116" s="44" t="s">
        <v>152</v>
      </c>
      <c r="D116" s="18"/>
    </row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</sheetData>
  <mergeCells count="9">
    <mergeCell ref="A8:D8"/>
    <mergeCell ref="A10:B10"/>
    <mergeCell ref="C10:D10"/>
    <mergeCell ref="A11:B11"/>
    <mergeCell ref="C11:D11"/>
    <mergeCell ref="A12:B12"/>
    <mergeCell ref="C12:D12"/>
    <mergeCell ref="A111:D111"/>
    <mergeCell ref="A112:D112"/>
  </mergeCells>
  <conditionalFormatting sqref="D15:D76">
    <cfRule type="cellIs" priority="2" operator="greaterThan" aboveAverage="0" equalAverage="0" bottom="0" percent="0" rank="0" text="" dxfId="10">
      <formula>B15</formula>
    </cfRule>
  </conditionalFormatting>
  <dataValidations count="1">
    <dataValidation allowBlank="true" errorStyle="stop" operator="equal" showDropDown="false" showErrorMessage="false" showInputMessage="false" sqref="B81:B86 C90:C105" type="list">
      <formula1>"Sí,No"</formula1>
      <formula2>0</formula2>
    </dataValidation>
  </dataValidations>
  <printOptions headings="false" gridLines="false" gridLinesSet="true" horizontalCentered="true" verticalCentered="false"/>
  <pageMargins left="0.39375" right="0.39375" top="0.196527777777778" bottom="0.196527777777778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86"/>
  <sheetViews>
    <sheetView showFormulas="false" showGridLines="false" showRowColHeaders="true" showZeros="true" rightToLeft="false" tabSelected="false" showOutlineSymbols="true" defaultGridColor="true" view="normal" topLeftCell="A79" colorId="64" zoomScale="100" zoomScaleNormal="100" zoomScalePageLayoutView="100" workbookViewId="0">
      <selection pane="topLeft" activeCell="D77" activeCellId="0" sqref="D77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87.43"/>
    <col collapsed="false" customWidth="true" hidden="false" outlineLevel="0" max="2" min="2" style="1" width="11"/>
    <col collapsed="false" customWidth="true" hidden="false" outlineLevel="0" max="3" min="3" style="1" width="34"/>
    <col collapsed="false" customWidth="true" hidden="false" outlineLevel="0" max="4" min="4" style="1" width="11"/>
    <col collapsed="false" customWidth="true" hidden="false" outlineLevel="0" max="26" min="5" style="1" width="8.71"/>
  </cols>
  <sheetData>
    <row r="1" customFormat="false" ht="13.8" hidden="false" customHeight="false" outlineLevel="0" collapsed="false">
      <c r="A1" s="17" t="s">
        <v>41</v>
      </c>
      <c r="B1" s="18"/>
      <c r="C1" s="18"/>
      <c r="D1" s="18"/>
    </row>
    <row r="2" customFormat="false" ht="13.8" hidden="false" customHeight="false" outlineLevel="0" collapsed="false">
      <c r="A2" s="17" t="s">
        <v>42</v>
      </c>
      <c r="B2" s="18"/>
      <c r="C2" s="18"/>
      <c r="D2" s="18"/>
    </row>
    <row r="3" customFormat="false" ht="13.8" hidden="false" customHeight="false" outlineLevel="0" collapsed="false">
      <c r="A3" s="17" t="s">
        <v>43</v>
      </c>
      <c r="B3" s="18"/>
      <c r="C3" s="18"/>
      <c r="D3" s="18"/>
    </row>
    <row r="4" customFormat="false" ht="13.8" hidden="false" customHeight="false" outlineLevel="0" collapsed="false">
      <c r="A4" s="17" t="s">
        <v>44</v>
      </c>
      <c r="B4" s="18"/>
      <c r="C4" s="18"/>
      <c r="D4" s="18"/>
    </row>
    <row r="5" customFormat="false" ht="13.8" hidden="false" customHeight="false" outlineLevel="0" collapsed="false">
      <c r="A5" s="17" t="s">
        <v>45</v>
      </c>
      <c r="B5" s="18"/>
      <c r="C5" s="18"/>
      <c r="D5" s="18"/>
    </row>
    <row r="6" customFormat="false" ht="13.8" hidden="false" customHeight="false" outlineLevel="0" collapsed="false">
      <c r="A6" s="17" t="s">
        <v>46</v>
      </c>
      <c r="B6" s="18"/>
      <c r="C6" s="18"/>
      <c r="D6" s="18"/>
    </row>
    <row r="7" customFormat="false" ht="13.8" hidden="false" customHeight="false" outlineLevel="0" collapsed="false">
      <c r="A7" s="17"/>
      <c r="B7" s="18"/>
      <c r="C7" s="18"/>
      <c r="D7" s="18"/>
    </row>
    <row r="8" customFormat="false" ht="13.8" hidden="false" customHeight="false" outlineLevel="0" collapsed="false">
      <c r="A8" s="19" t="s">
        <v>47</v>
      </c>
      <c r="B8" s="19"/>
      <c r="C8" s="19"/>
      <c r="D8" s="19"/>
    </row>
    <row r="9" customFormat="false" ht="13.8" hidden="false" customHeight="false" outlineLevel="0" collapsed="false">
      <c r="A9" s="20"/>
      <c r="B9" s="20"/>
      <c r="C9" s="20"/>
      <c r="D9" s="20"/>
    </row>
    <row r="10" customFormat="false" ht="13.8" hidden="false" customHeight="false" outlineLevel="0" collapsed="false">
      <c r="A10" s="21" t="s">
        <v>48</v>
      </c>
      <c r="B10" s="21"/>
      <c r="C10" s="22"/>
      <c r="D10" s="22"/>
    </row>
    <row r="11" customFormat="false" ht="13.8" hidden="false" customHeight="false" outlineLevel="0" collapsed="false">
      <c r="A11" s="21" t="s">
        <v>49</v>
      </c>
      <c r="B11" s="21"/>
      <c r="C11" s="23" t="str">
        <f aca="false">VLOOKUP(C12, Consolidado!$B$3:$C$26, 2, 0)</f>
        <v>DIEGO SEBASTIAN ALVARADO MORATAYA</v>
      </c>
      <c r="D11" s="23"/>
    </row>
    <row r="12" customFormat="false" ht="13.8" hidden="false" customHeight="false" outlineLevel="0" collapsed="false">
      <c r="A12" s="21" t="s">
        <v>50</v>
      </c>
      <c r="B12" s="21"/>
      <c r="C12" s="45" t="n">
        <v>202400066</v>
      </c>
      <c r="D12" s="23"/>
    </row>
    <row r="13" customFormat="false" ht="13.8" hidden="false" customHeight="false" outlineLevel="0" collapsed="false">
      <c r="A13" s="18"/>
      <c r="B13" s="18"/>
      <c r="C13" s="18"/>
      <c r="D13" s="18"/>
    </row>
    <row r="14" customFormat="false" ht="19.5" hidden="false" customHeight="true" outlineLevel="0" collapsed="false">
      <c r="A14" s="24" t="s">
        <v>51</v>
      </c>
      <c r="B14" s="24" t="s">
        <v>52</v>
      </c>
      <c r="C14" s="24" t="s">
        <v>53</v>
      </c>
      <c r="D14" s="24" t="s">
        <v>54</v>
      </c>
    </row>
    <row r="15" customFormat="false" ht="19.5" hidden="false" customHeight="true" outlineLevel="0" collapsed="false">
      <c r="A15" s="25" t="s">
        <v>55</v>
      </c>
      <c r="B15" s="26" t="n">
        <f aca="false">B16+B21+B25</f>
        <v>20</v>
      </c>
      <c r="C15" s="25"/>
      <c r="D15" s="27" t="n">
        <f aca="false">IF(D16+D21+D25=0,"",D16+D21+D25)</f>
        <v>18</v>
      </c>
    </row>
    <row r="16" customFormat="false" ht="18" hidden="false" customHeight="true" outlineLevel="0" collapsed="false">
      <c r="A16" s="28" t="s">
        <v>56</v>
      </c>
      <c r="B16" s="29" t="n">
        <f aca="false">SUM(B17:B20)</f>
        <v>8</v>
      </c>
      <c r="C16" s="28"/>
      <c r="D16" s="30" t="n">
        <f aca="false">SUM(D17:D20)</f>
        <v>6</v>
      </c>
    </row>
    <row r="17" customFormat="false" ht="15" hidden="false" customHeight="true" outlineLevel="0" collapsed="false">
      <c r="A17" s="31" t="s">
        <v>57</v>
      </c>
      <c r="B17" s="32" t="n">
        <v>2</v>
      </c>
      <c r="C17" s="31"/>
      <c r="D17" s="33" t="n">
        <v>2</v>
      </c>
    </row>
    <row r="18" customFormat="false" ht="15" hidden="false" customHeight="true" outlineLevel="0" collapsed="false">
      <c r="A18" s="31" t="s">
        <v>58</v>
      </c>
      <c r="B18" s="32" t="n">
        <v>2</v>
      </c>
      <c r="C18" s="31"/>
      <c r="D18" s="33" t="n">
        <v>2</v>
      </c>
    </row>
    <row r="19" customFormat="false" ht="15" hidden="false" customHeight="true" outlineLevel="0" collapsed="false">
      <c r="A19" s="31" t="s">
        <v>59</v>
      </c>
      <c r="B19" s="32" t="n">
        <v>2</v>
      </c>
      <c r="C19" s="31"/>
      <c r="D19" s="33" t="n">
        <v>2</v>
      </c>
    </row>
    <row r="20" customFormat="false" ht="15" hidden="false" customHeight="true" outlineLevel="0" collapsed="false">
      <c r="A20" s="31" t="s">
        <v>60</v>
      </c>
      <c r="B20" s="32" t="n">
        <v>2</v>
      </c>
      <c r="C20" s="31"/>
      <c r="D20" s="33" t="n">
        <v>0</v>
      </c>
    </row>
    <row r="21" customFormat="false" ht="18" hidden="false" customHeight="true" outlineLevel="0" collapsed="false">
      <c r="A21" s="28" t="s">
        <v>61</v>
      </c>
      <c r="B21" s="29" t="n">
        <f aca="false">SUM(B22:B24)</f>
        <v>6</v>
      </c>
      <c r="C21" s="28"/>
      <c r="D21" s="30" t="n">
        <f aca="false">SUM(D22:D24)</f>
        <v>6</v>
      </c>
    </row>
    <row r="22" customFormat="false" ht="15" hidden="false" customHeight="true" outlineLevel="0" collapsed="false">
      <c r="A22" s="31" t="s">
        <v>62</v>
      </c>
      <c r="B22" s="32" t="n">
        <v>2</v>
      </c>
      <c r="C22" s="31"/>
      <c r="D22" s="33" t="n">
        <v>2</v>
      </c>
    </row>
    <row r="23" customFormat="false" ht="15" hidden="false" customHeight="true" outlineLevel="0" collapsed="false">
      <c r="A23" s="31" t="s">
        <v>63</v>
      </c>
      <c r="B23" s="32" t="n">
        <v>2</v>
      </c>
      <c r="C23" s="31"/>
      <c r="D23" s="33" t="n">
        <v>2</v>
      </c>
    </row>
    <row r="24" customFormat="false" ht="15" hidden="false" customHeight="true" outlineLevel="0" collapsed="false">
      <c r="A24" s="31" t="s">
        <v>64</v>
      </c>
      <c r="B24" s="32" t="n">
        <v>2</v>
      </c>
      <c r="C24" s="31"/>
      <c r="D24" s="33" t="n">
        <v>2</v>
      </c>
    </row>
    <row r="25" customFormat="false" ht="18" hidden="false" customHeight="true" outlineLevel="0" collapsed="false">
      <c r="A25" s="28" t="s">
        <v>65</v>
      </c>
      <c r="B25" s="29" t="n">
        <f aca="false">SUM(B26:B28)</f>
        <v>6</v>
      </c>
      <c r="C25" s="28"/>
      <c r="D25" s="30" t="n">
        <f aca="false">SUM(D26:D28)</f>
        <v>6</v>
      </c>
    </row>
    <row r="26" customFormat="false" ht="16.5" hidden="false" customHeight="true" outlineLevel="0" collapsed="false">
      <c r="A26" s="31" t="s">
        <v>66</v>
      </c>
      <c r="B26" s="32" t="n">
        <v>2</v>
      </c>
      <c r="C26" s="31"/>
      <c r="D26" s="33" t="n">
        <v>2</v>
      </c>
    </row>
    <row r="27" customFormat="false" ht="15" hidden="false" customHeight="true" outlineLevel="0" collapsed="false">
      <c r="A27" s="31" t="s">
        <v>67</v>
      </c>
      <c r="B27" s="32" t="n">
        <v>2</v>
      </c>
      <c r="C27" s="31"/>
      <c r="D27" s="33" t="n">
        <v>2</v>
      </c>
    </row>
    <row r="28" customFormat="false" ht="15" hidden="false" customHeight="true" outlineLevel="0" collapsed="false">
      <c r="A28" s="31" t="s">
        <v>68</v>
      </c>
      <c r="B28" s="32" t="n">
        <v>2</v>
      </c>
      <c r="C28" s="31"/>
      <c r="D28" s="33" t="n">
        <v>2</v>
      </c>
    </row>
    <row r="29" customFormat="false" ht="19.5" hidden="false" customHeight="true" outlineLevel="0" collapsed="false">
      <c r="A29" s="25" t="s">
        <v>69</v>
      </c>
      <c r="B29" s="26" t="n">
        <f aca="false">B30+B34+B40+B44+B49+B53+B58+B63</f>
        <v>55</v>
      </c>
      <c r="C29" s="25"/>
      <c r="D29" s="27" t="n">
        <f aca="false">IF(D30+D34+D40+D44+D49+D53+D58+D63=0,"",D30+D34+D40+D44+D49+D53+D58+D63)</f>
        <v>41.5</v>
      </c>
    </row>
    <row r="30" customFormat="false" ht="18" hidden="false" customHeight="true" outlineLevel="0" collapsed="false">
      <c r="A30" s="28" t="s">
        <v>70</v>
      </c>
      <c r="B30" s="29" t="n">
        <f aca="false">SUM(B31:B33)</f>
        <v>5</v>
      </c>
      <c r="C30" s="28"/>
      <c r="D30" s="30" t="n">
        <f aca="false">SUM(D31:D33)</f>
        <v>2</v>
      </c>
    </row>
    <row r="31" customFormat="false" ht="15" hidden="false" customHeight="true" outlineLevel="0" collapsed="false">
      <c r="A31" s="31" t="s">
        <v>71</v>
      </c>
      <c r="B31" s="32" t="n">
        <v>2</v>
      </c>
      <c r="C31" s="31"/>
      <c r="D31" s="33" t="n">
        <v>2</v>
      </c>
    </row>
    <row r="32" customFormat="false" ht="15" hidden="false" customHeight="true" outlineLevel="0" collapsed="false">
      <c r="A32" s="31" t="s">
        <v>72</v>
      </c>
      <c r="B32" s="32" t="n">
        <v>2</v>
      </c>
      <c r="C32" s="31"/>
      <c r="D32" s="33" t="n">
        <v>0</v>
      </c>
    </row>
    <row r="33" customFormat="false" ht="15" hidden="false" customHeight="true" outlineLevel="0" collapsed="false">
      <c r="A33" s="31" t="s">
        <v>73</v>
      </c>
      <c r="B33" s="32" t="n">
        <v>1</v>
      </c>
      <c r="C33" s="31"/>
      <c r="D33" s="33" t="n">
        <v>0</v>
      </c>
    </row>
    <row r="34" customFormat="false" ht="18" hidden="false" customHeight="true" outlineLevel="0" collapsed="false">
      <c r="A34" s="28" t="s">
        <v>74</v>
      </c>
      <c r="B34" s="29" t="n">
        <f aca="false">SUM(B35:B39)</f>
        <v>10</v>
      </c>
      <c r="C34" s="28"/>
      <c r="D34" s="30" t="n">
        <f aca="false">SUM(D35:D39)</f>
        <v>9.5</v>
      </c>
    </row>
    <row r="35" customFormat="false" ht="15" hidden="false" customHeight="true" outlineLevel="0" collapsed="false">
      <c r="A35" s="31" t="s">
        <v>75</v>
      </c>
      <c r="B35" s="32" t="n">
        <v>3</v>
      </c>
      <c r="C35" s="31"/>
      <c r="D35" s="33" t="n">
        <v>3</v>
      </c>
    </row>
    <row r="36" customFormat="false" ht="15" hidden="false" customHeight="true" outlineLevel="0" collapsed="false">
      <c r="A36" s="31" t="s">
        <v>76</v>
      </c>
      <c r="B36" s="32" t="n">
        <v>2</v>
      </c>
      <c r="C36" s="31"/>
      <c r="D36" s="33" t="n">
        <v>2</v>
      </c>
    </row>
    <row r="37" customFormat="false" ht="15" hidden="false" customHeight="true" outlineLevel="0" collapsed="false">
      <c r="A37" s="31" t="s">
        <v>77</v>
      </c>
      <c r="B37" s="32" t="n">
        <v>2</v>
      </c>
      <c r="C37" s="31"/>
      <c r="D37" s="33" t="n">
        <v>2</v>
      </c>
    </row>
    <row r="38" customFormat="false" ht="15" hidden="false" customHeight="true" outlineLevel="0" collapsed="false">
      <c r="A38" s="31" t="s">
        <v>78</v>
      </c>
      <c r="B38" s="32" t="n">
        <v>1</v>
      </c>
      <c r="C38" s="31"/>
      <c r="D38" s="33" t="n">
        <v>0.5</v>
      </c>
    </row>
    <row r="39" customFormat="false" ht="15" hidden="false" customHeight="true" outlineLevel="0" collapsed="false">
      <c r="A39" s="31" t="s">
        <v>79</v>
      </c>
      <c r="B39" s="32" t="n">
        <v>2</v>
      </c>
      <c r="C39" s="31"/>
      <c r="D39" s="33" t="n">
        <v>2</v>
      </c>
    </row>
    <row r="40" customFormat="false" ht="18" hidden="false" customHeight="true" outlineLevel="0" collapsed="false">
      <c r="A40" s="28" t="s">
        <v>80</v>
      </c>
      <c r="B40" s="29" t="n">
        <f aca="false">SUM(B41:B43)</f>
        <v>6</v>
      </c>
      <c r="C40" s="28"/>
      <c r="D40" s="30" t="n">
        <f aca="false">SUM(D41:D43)</f>
        <v>2</v>
      </c>
    </row>
    <row r="41" customFormat="false" ht="15" hidden="false" customHeight="true" outlineLevel="0" collapsed="false">
      <c r="A41" s="31" t="s">
        <v>81</v>
      </c>
      <c r="B41" s="32" t="n">
        <v>2</v>
      </c>
      <c r="C41" s="31"/>
      <c r="D41" s="33" t="n">
        <v>2</v>
      </c>
    </row>
    <row r="42" customFormat="false" ht="15" hidden="false" customHeight="true" outlineLevel="0" collapsed="false">
      <c r="A42" s="31" t="s">
        <v>82</v>
      </c>
      <c r="B42" s="32" t="n">
        <v>2</v>
      </c>
      <c r="C42" s="31"/>
      <c r="D42" s="33" t="n">
        <v>0</v>
      </c>
    </row>
    <row r="43" customFormat="false" ht="15" hidden="false" customHeight="true" outlineLevel="0" collapsed="false">
      <c r="A43" s="31" t="s">
        <v>83</v>
      </c>
      <c r="B43" s="32" t="n">
        <v>2</v>
      </c>
      <c r="C43" s="31"/>
      <c r="D43" s="33" t="n">
        <v>0</v>
      </c>
    </row>
    <row r="44" customFormat="false" ht="18" hidden="false" customHeight="true" outlineLevel="0" collapsed="false">
      <c r="A44" s="28" t="s">
        <v>84</v>
      </c>
      <c r="B44" s="29" t="n">
        <f aca="false">SUM(B45:B48)</f>
        <v>8</v>
      </c>
      <c r="C44" s="28"/>
      <c r="D44" s="30" t="n">
        <f aca="false">SUM(D45:D48)</f>
        <v>7</v>
      </c>
    </row>
    <row r="45" customFormat="false" ht="15" hidden="false" customHeight="true" outlineLevel="0" collapsed="false">
      <c r="A45" s="31" t="s">
        <v>85</v>
      </c>
      <c r="B45" s="32" t="n">
        <v>2</v>
      </c>
      <c r="C45" s="31"/>
      <c r="D45" s="33" t="n">
        <v>2</v>
      </c>
    </row>
    <row r="46" customFormat="false" ht="15" hidden="false" customHeight="true" outlineLevel="0" collapsed="false">
      <c r="A46" s="31" t="s">
        <v>86</v>
      </c>
      <c r="B46" s="32" t="n">
        <v>3</v>
      </c>
      <c r="C46" s="31"/>
      <c r="D46" s="33" t="n">
        <v>3</v>
      </c>
    </row>
    <row r="47" customFormat="false" ht="15" hidden="false" customHeight="true" outlineLevel="0" collapsed="false">
      <c r="A47" s="31" t="s">
        <v>87</v>
      </c>
      <c r="B47" s="32" t="n">
        <v>2</v>
      </c>
      <c r="C47" s="31"/>
      <c r="D47" s="33" t="n">
        <v>1</v>
      </c>
    </row>
    <row r="48" customFormat="false" ht="15" hidden="false" customHeight="true" outlineLevel="0" collapsed="false">
      <c r="A48" s="31" t="s">
        <v>88</v>
      </c>
      <c r="B48" s="32" t="n">
        <v>1</v>
      </c>
      <c r="C48" s="31"/>
      <c r="D48" s="33" t="n">
        <v>1</v>
      </c>
    </row>
    <row r="49" customFormat="false" ht="18" hidden="false" customHeight="true" outlineLevel="0" collapsed="false">
      <c r="A49" s="28" t="s">
        <v>89</v>
      </c>
      <c r="B49" s="29" t="n">
        <f aca="false">SUM(B50:B52)</f>
        <v>6</v>
      </c>
      <c r="C49" s="28"/>
      <c r="D49" s="30" t="n">
        <f aca="false">SUM(D50:D52)</f>
        <v>3</v>
      </c>
    </row>
    <row r="50" customFormat="false" ht="15" hidden="false" customHeight="true" outlineLevel="0" collapsed="false">
      <c r="A50" s="31" t="s">
        <v>90</v>
      </c>
      <c r="B50" s="32" t="n">
        <v>2</v>
      </c>
      <c r="C50" s="31"/>
      <c r="D50" s="33" t="n">
        <v>2</v>
      </c>
    </row>
    <row r="51" customFormat="false" ht="15" hidden="false" customHeight="true" outlineLevel="0" collapsed="false">
      <c r="A51" s="31" t="s">
        <v>91</v>
      </c>
      <c r="B51" s="32" t="n">
        <v>2</v>
      </c>
      <c r="C51" s="31"/>
      <c r="D51" s="33" t="n">
        <v>1</v>
      </c>
    </row>
    <row r="52" customFormat="false" ht="15" hidden="false" customHeight="true" outlineLevel="0" collapsed="false">
      <c r="A52" s="31" t="s">
        <v>92</v>
      </c>
      <c r="B52" s="32" t="n">
        <v>2</v>
      </c>
      <c r="C52" s="31"/>
      <c r="D52" s="33" t="n">
        <v>0</v>
      </c>
    </row>
    <row r="53" customFormat="false" ht="18" hidden="false" customHeight="true" outlineLevel="0" collapsed="false">
      <c r="A53" s="28" t="s">
        <v>93</v>
      </c>
      <c r="B53" s="29" t="n">
        <f aca="false">SUM(B54:B57)</f>
        <v>8</v>
      </c>
      <c r="C53" s="28"/>
      <c r="D53" s="30" t="n">
        <f aca="false">SUM(D54:D57)</f>
        <v>6</v>
      </c>
    </row>
    <row r="54" customFormat="false" ht="15" hidden="false" customHeight="true" outlineLevel="0" collapsed="false">
      <c r="A54" s="31" t="s">
        <v>94</v>
      </c>
      <c r="B54" s="32" t="n">
        <v>2</v>
      </c>
      <c r="C54" s="31"/>
      <c r="D54" s="33" t="n">
        <v>2</v>
      </c>
    </row>
    <row r="55" customFormat="false" ht="15" hidden="false" customHeight="true" outlineLevel="0" collapsed="false">
      <c r="A55" s="31" t="s">
        <v>95</v>
      </c>
      <c r="B55" s="32" t="n">
        <v>3</v>
      </c>
      <c r="C55" s="31"/>
      <c r="D55" s="33" t="n">
        <v>3</v>
      </c>
    </row>
    <row r="56" customFormat="false" ht="15" hidden="false" customHeight="true" outlineLevel="0" collapsed="false">
      <c r="A56" s="31" t="s">
        <v>96</v>
      </c>
      <c r="B56" s="32" t="n">
        <v>2</v>
      </c>
      <c r="C56" s="31"/>
      <c r="D56" s="33" t="n">
        <v>0</v>
      </c>
    </row>
    <row r="57" customFormat="false" ht="15" hidden="false" customHeight="true" outlineLevel="0" collapsed="false">
      <c r="A57" s="31" t="s">
        <v>97</v>
      </c>
      <c r="B57" s="32" t="n">
        <v>1</v>
      </c>
      <c r="C57" s="31"/>
      <c r="D57" s="33" t="n">
        <v>1</v>
      </c>
    </row>
    <row r="58" customFormat="false" ht="18" hidden="false" customHeight="true" outlineLevel="0" collapsed="false">
      <c r="A58" s="28" t="s">
        <v>98</v>
      </c>
      <c r="B58" s="29" t="n">
        <f aca="false">SUM(B59:B62)</f>
        <v>6</v>
      </c>
      <c r="C58" s="28"/>
      <c r="D58" s="30" t="n">
        <f aca="false">SUM(D59:D62)</f>
        <v>6</v>
      </c>
    </row>
    <row r="59" customFormat="false" ht="15" hidden="false" customHeight="true" outlineLevel="0" collapsed="false">
      <c r="A59" s="31" t="s">
        <v>99</v>
      </c>
      <c r="B59" s="32" t="n">
        <v>2</v>
      </c>
      <c r="C59" s="31"/>
      <c r="D59" s="33" t="n">
        <v>2</v>
      </c>
    </row>
    <row r="60" customFormat="false" ht="15" hidden="false" customHeight="true" outlineLevel="0" collapsed="false">
      <c r="A60" s="31" t="s">
        <v>100</v>
      </c>
      <c r="B60" s="32" t="n">
        <v>2</v>
      </c>
      <c r="C60" s="31"/>
      <c r="D60" s="33" t="n">
        <v>2</v>
      </c>
    </row>
    <row r="61" customFormat="false" ht="15" hidden="false" customHeight="true" outlineLevel="0" collapsed="false">
      <c r="A61" s="31" t="s">
        <v>101</v>
      </c>
      <c r="B61" s="32" t="n">
        <v>1</v>
      </c>
      <c r="C61" s="31"/>
      <c r="D61" s="33" t="n">
        <v>1</v>
      </c>
    </row>
    <row r="62" customFormat="false" ht="15" hidden="false" customHeight="true" outlineLevel="0" collapsed="false">
      <c r="A62" s="31" t="s">
        <v>102</v>
      </c>
      <c r="B62" s="32" t="n">
        <v>1</v>
      </c>
      <c r="C62" s="31"/>
      <c r="D62" s="33" t="n">
        <v>1</v>
      </c>
    </row>
    <row r="63" customFormat="false" ht="15" hidden="false" customHeight="true" outlineLevel="0" collapsed="false">
      <c r="A63" s="28" t="s">
        <v>103</v>
      </c>
      <c r="B63" s="29" t="n">
        <f aca="false">SUM(B64:B65)</f>
        <v>6</v>
      </c>
      <c r="C63" s="28"/>
      <c r="D63" s="30" t="n">
        <f aca="false">SUM(D64:D65)</f>
        <v>6</v>
      </c>
    </row>
    <row r="64" customFormat="false" ht="15" hidden="false" customHeight="true" outlineLevel="0" collapsed="false">
      <c r="A64" s="31" t="s">
        <v>104</v>
      </c>
      <c r="B64" s="32" t="n">
        <v>3</v>
      </c>
      <c r="C64" s="31"/>
      <c r="D64" s="33" t="n">
        <v>3</v>
      </c>
    </row>
    <row r="65" customFormat="false" ht="15" hidden="false" customHeight="true" outlineLevel="0" collapsed="false">
      <c r="A65" s="31" t="s">
        <v>105</v>
      </c>
      <c r="B65" s="32" t="n">
        <v>3</v>
      </c>
      <c r="C65" s="31"/>
      <c r="D65" s="33" t="n">
        <v>3</v>
      </c>
    </row>
    <row r="66" customFormat="false" ht="19.5" hidden="false" customHeight="true" outlineLevel="0" collapsed="false">
      <c r="A66" s="25" t="s">
        <v>106</v>
      </c>
      <c r="B66" s="26" t="n">
        <f aca="false">B67+B73</f>
        <v>25</v>
      </c>
      <c r="C66" s="25"/>
      <c r="D66" s="27" t="n">
        <f aca="false">IF(D67+D73=0,"",D67+D73)</f>
        <v>7</v>
      </c>
    </row>
    <row r="67" customFormat="false" ht="18" hidden="false" customHeight="true" outlineLevel="0" collapsed="false">
      <c r="A67" s="28" t="s">
        <v>107</v>
      </c>
      <c r="B67" s="29" t="n">
        <f aca="false">SUM(B68:B72)</f>
        <v>10</v>
      </c>
      <c r="C67" s="28"/>
      <c r="D67" s="30" t="n">
        <f aca="false">IF(SUM(D68:D72)=0,"",SUM(D68:D72))</f>
        <v>2</v>
      </c>
    </row>
    <row r="68" customFormat="false" ht="15" hidden="false" customHeight="true" outlineLevel="0" collapsed="false">
      <c r="A68" s="31" t="s">
        <v>108</v>
      </c>
      <c r="B68" s="32" t="n">
        <v>2</v>
      </c>
      <c r="C68" s="31"/>
      <c r="D68" s="33" t="n">
        <v>2</v>
      </c>
    </row>
    <row r="69" customFormat="false" ht="15" hidden="false" customHeight="true" outlineLevel="0" collapsed="false">
      <c r="A69" s="31" t="s">
        <v>109</v>
      </c>
      <c r="B69" s="32" t="n">
        <v>2</v>
      </c>
      <c r="C69" s="31"/>
      <c r="D69" s="33" t="n">
        <v>0</v>
      </c>
    </row>
    <row r="70" customFormat="false" ht="15" hidden="false" customHeight="true" outlineLevel="0" collapsed="false">
      <c r="A70" s="31" t="s">
        <v>110</v>
      </c>
      <c r="B70" s="32" t="n">
        <v>2</v>
      </c>
      <c r="C70" s="31"/>
      <c r="D70" s="33" t="n">
        <v>0</v>
      </c>
    </row>
    <row r="71" customFormat="false" ht="15" hidden="false" customHeight="true" outlineLevel="0" collapsed="false">
      <c r="A71" s="31" t="s">
        <v>111</v>
      </c>
      <c r="B71" s="32" t="n">
        <v>2</v>
      </c>
      <c r="C71" s="31"/>
      <c r="D71" s="33" t="n">
        <v>0</v>
      </c>
    </row>
    <row r="72" customFormat="false" ht="15" hidden="false" customHeight="true" outlineLevel="0" collapsed="false">
      <c r="A72" s="31" t="s">
        <v>112</v>
      </c>
      <c r="B72" s="32" t="n">
        <v>2</v>
      </c>
      <c r="C72" s="31"/>
      <c r="D72" s="33" t="n">
        <v>0</v>
      </c>
    </row>
    <row r="73" customFormat="false" ht="18" hidden="false" customHeight="true" outlineLevel="0" collapsed="false">
      <c r="A73" s="28" t="s">
        <v>113</v>
      </c>
      <c r="B73" s="29" t="n">
        <f aca="false">SUM(B74:B76)</f>
        <v>15</v>
      </c>
      <c r="C73" s="28"/>
      <c r="D73" s="30" t="n">
        <f aca="false">SUM(D74:D76)</f>
        <v>5</v>
      </c>
    </row>
    <row r="74" customFormat="false" ht="15" hidden="false" customHeight="true" outlineLevel="0" collapsed="false">
      <c r="A74" s="31" t="s">
        <v>114</v>
      </c>
      <c r="B74" s="32" t="n">
        <v>5</v>
      </c>
      <c r="C74" s="31"/>
      <c r="D74" s="33" t="n">
        <v>5</v>
      </c>
    </row>
    <row r="75" customFormat="false" ht="15" hidden="false" customHeight="true" outlineLevel="0" collapsed="false">
      <c r="A75" s="31" t="s">
        <v>115</v>
      </c>
      <c r="B75" s="32" t="n">
        <v>5</v>
      </c>
      <c r="C75" s="31"/>
      <c r="D75" s="33" t="n">
        <v>0</v>
      </c>
    </row>
    <row r="76" customFormat="false" ht="15" hidden="false" customHeight="true" outlineLevel="0" collapsed="false">
      <c r="A76" s="31" t="s">
        <v>116</v>
      </c>
      <c r="B76" s="32" t="n">
        <v>5</v>
      </c>
      <c r="C76" s="31"/>
      <c r="D76" s="33" t="n">
        <v>0</v>
      </c>
    </row>
    <row r="77" customFormat="false" ht="19.5" hidden="false" customHeight="true" outlineLevel="0" collapsed="false">
      <c r="A77" s="34" t="s">
        <v>117</v>
      </c>
      <c r="B77" s="35" t="n">
        <f aca="false">B15+B29+B66</f>
        <v>100</v>
      </c>
      <c r="C77" s="36"/>
      <c r="D77" s="16" t="n">
        <f aca="false">IF(D15+D29+D66=0,"",D15+D29+D66)</f>
        <v>66.5</v>
      </c>
    </row>
    <row r="78" customFormat="false" ht="1.5" hidden="false" customHeight="true" outlineLevel="0" collapsed="false">
      <c r="A78" s="18"/>
      <c r="B78" s="18"/>
      <c r="C78" s="18"/>
      <c r="D78" s="18"/>
    </row>
    <row r="79" customFormat="false" ht="15.75" hidden="false" customHeight="true" outlineLevel="0" collapsed="false">
      <c r="A79" s="17" t="s">
        <v>118</v>
      </c>
      <c r="B79" s="18"/>
      <c r="C79" s="18"/>
      <c r="D79" s="18"/>
    </row>
    <row r="80" customFormat="false" ht="15.75" hidden="false" customHeight="true" outlineLevel="0" collapsed="false">
      <c r="A80" s="24" t="s">
        <v>119</v>
      </c>
      <c r="B80" s="24" t="s">
        <v>120</v>
      </c>
      <c r="C80" s="24" t="s">
        <v>53</v>
      </c>
      <c r="D80" s="24"/>
    </row>
    <row r="81" customFormat="false" ht="15.75" hidden="false" customHeight="true" outlineLevel="0" collapsed="false">
      <c r="A81" s="31" t="s">
        <v>121</v>
      </c>
      <c r="B81" s="4"/>
      <c r="C81" s="37"/>
      <c r="D81" s="38"/>
    </row>
    <row r="82" customFormat="false" ht="15.75" hidden="false" customHeight="true" outlineLevel="0" collapsed="false">
      <c r="A82" s="31" t="s">
        <v>122</v>
      </c>
      <c r="B82" s="4"/>
      <c r="C82" s="37"/>
      <c r="D82" s="38"/>
    </row>
    <row r="83" customFormat="false" ht="15.75" hidden="false" customHeight="true" outlineLevel="0" collapsed="false">
      <c r="A83" s="31" t="s">
        <v>123</v>
      </c>
      <c r="B83" s="4"/>
      <c r="C83" s="37"/>
      <c r="D83" s="38"/>
    </row>
    <row r="84" customFormat="false" ht="15.75" hidden="false" customHeight="true" outlineLevel="0" collapsed="false">
      <c r="A84" s="31" t="s">
        <v>124</v>
      </c>
      <c r="B84" s="4"/>
      <c r="C84" s="37"/>
      <c r="D84" s="38"/>
    </row>
    <row r="85" customFormat="false" ht="15.75" hidden="false" customHeight="true" outlineLevel="0" collapsed="false">
      <c r="A85" s="31" t="s">
        <v>125</v>
      </c>
      <c r="B85" s="4"/>
      <c r="C85" s="37"/>
      <c r="D85" s="38"/>
    </row>
    <row r="86" customFormat="false" ht="15.75" hidden="false" customHeight="true" outlineLevel="0" collapsed="false">
      <c r="A86" s="31" t="s">
        <v>126</v>
      </c>
      <c r="B86" s="4"/>
      <c r="C86" s="37"/>
      <c r="D86" s="38"/>
    </row>
    <row r="87" customFormat="false" ht="1.5" hidden="false" customHeight="true" outlineLevel="0" collapsed="false">
      <c r="A87" s="18"/>
      <c r="B87" s="18"/>
      <c r="C87" s="18"/>
      <c r="D87" s="18"/>
    </row>
    <row r="88" customFormat="false" ht="15.75" hidden="false" customHeight="true" outlineLevel="0" collapsed="false">
      <c r="A88" s="17" t="s">
        <v>127</v>
      </c>
      <c r="B88" s="18"/>
      <c r="C88" s="18"/>
      <c r="D88" s="18"/>
    </row>
    <row r="89" customFormat="false" ht="15.75" hidden="false" customHeight="true" outlineLevel="0" collapsed="false">
      <c r="A89" s="24" t="s">
        <v>128</v>
      </c>
      <c r="B89" s="24" t="s">
        <v>8</v>
      </c>
      <c r="C89" s="24" t="s">
        <v>129</v>
      </c>
      <c r="D89" s="24" t="s">
        <v>130</v>
      </c>
    </row>
    <row r="90" customFormat="false" ht="15.75" hidden="false" customHeight="true" outlineLevel="0" collapsed="false">
      <c r="A90" s="31" t="s">
        <v>131</v>
      </c>
      <c r="B90" s="39" t="n">
        <v>-0.3</v>
      </c>
      <c r="C90" s="4"/>
      <c r="D90" s="8" t="str">
        <f aca="false">IF(C90="Sí",$D$77*B90,"")</f>
        <v/>
      </c>
    </row>
    <row r="91" customFormat="false" ht="15.75" hidden="false" customHeight="true" outlineLevel="0" collapsed="false">
      <c r="A91" s="31" t="s">
        <v>132</v>
      </c>
      <c r="B91" s="39" t="n">
        <v>-0.2</v>
      </c>
      <c r="C91" s="4"/>
      <c r="D91" s="8" t="str">
        <f aca="false">IF(C91="Sí",$D$77*B91,"")</f>
        <v/>
      </c>
    </row>
    <row r="92" customFormat="false" ht="15.75" hidden="false" customHeight="true" outlineLevel="0" collapsed="false">
      <c r="A92" s="31" t="s">
        <v>133</v>
      </c>
      <c r="B92" s="39" t="n">
        <v>-1</v>
      </c>
      <c r="C92" s="4"/>
      <c r="D92" s="8" t="str">
        <f aca="false">IF(C92="Sí",$D$77*B92,"")</f>
        <v/>
      </c>
    </row>
    <row r="93" customFormat="false" ht="15.75" hidden="false" customHeight="true" outlineLevel="0" collapsed="false">
      <c r="A93" s="31" t="s">
        <v>134</v>
      </c>
      <c r="B93" s="39" t="n">
        <v>-0.2</v>
      </c>
      <c r="C93" s="4"/>
      <c r="D93" s="8" t="str">
        <f aca="false">IF(C93="Sí",$D$77*B93,"")</f>
        <v/>
      </c>
    </row>
    <row r="94" customFormat="false" ht="15.75" hidden="false" customHeight="true" outlineLevel="0" collapsed="false">
      <c r="A94" s="31" t="s">
        <v>135</v>
      </c>
      <c r="B94" s="39" t="n">
        <v>-1</v>
      </c>
      <c r="C94" s="4"/>
      <c r="D94" s="8" t="str">
        <f aca="false">IF(C94="Sí",$D$77*B94,"")</f>
        <v/>
      </c>
    </row>
    <row r="95" customFormat="false" ht="15.75" hidden="false" customHeight="true" outlineLevel="0" collapsed="false">
      <c r="A95" s="31" t="s">
        <v>136</v>
      </c>
      <c r="B95" s="39" t="n">
        <v>-0.75</v>
      </c>
      <c r="C95" s="4"/>
      <c r="D95" s="8" t="str">
        <f aca="false">IF(C95="Sí",$D$77*B95,"")</f>
        <v/>
      </c>
    </row>
    <row r="96" customFormat="false" ht="15.75" hidden="false" customHeight="true" outlineLevel="0" collapsed="false">
      <c r="A96" s="31" t="s">
        <v>137</v>
      </c>
      <c r="B96" s="39" t="n">
        <v>-0.75</v>
      </c>
      <c r="C96" s="4"/>
      <c r="D96" s="8" t="str">
        <f aca="false">IF(C96="Sí",$D$77*B96,"")</f>
        <v/>
      </c>
    </row>
    <row r="97" customFormat="false" ht="15.75" hidden="false" customHeight="true" outlineLevel="0" collapsed="false">
      <c r="A97" s="31" t="s">
        <v>138</v>
      </c>
      <c r="B97" s="39" t="n">
        <v>-1</v>
      </c>
      <c r="C97" s="4"/>
      <c r="D97" s="8" t="str">
        <f aca="false">IF(C97="Sí",$D$77*B97,"")</f>
        <v/>
      </c>
    </row>
    <row r="98" customFormat="false" ht="15.75" hidden="false" customHeight="true" outlineLevel="0" collapsed="false">
      <c r="A98" s="31" t="s">
        <v>139</v>
      </c>
      <c r="B98" s="39" t="n">
        <v>-0.5</v>
      </c>
      <c r="C98" s="4"/>
      <c r="D98" s="8" t="str">
        <f aca="false">IF(C98="Sí",$D$77*B98,"")</f>
        <v/>
      </c>
    </row>
    <row r="99" customFormat="false" ht="15.75" hidden="false" customHeight="true" outlineLevel="0" collapsed="false">
      <c r="A99" s="31" t="s">
        <v>140</v>
      </c>
      <c r="B99" s="39" t="n">
        <v>-1</v>
      </c>
      <c r="C99" s="4"/>
      <c r="D99" s="8" t="str">
        <f aca="false">IF(C99="Sí",$D$77*B99,"")</f>
        <v/>
      </c>
    </row>
    <row r="100" customFormat="false" ht="15.75" hidden="false" customHeight="true" outlineLevel="0" collapsed="false">
      <c r="A100" s="31" t="s">
        <v>141</v>
      </c>
      <c r="B100" s="39" t="n">
        <v>-1</v>
      </c>
      <c r="C100" s="4"/>
      <c r="D100" s="8" t="str">
        <f aca="false">IF(C100="Sí",$D$77*B100,"")</f>
        <v/>
      </c>
    </row>
    <row r="101" customFormat="false" ht="15.75" hidden="false" customHeight="true" outlineLevel="0" collapsed="false">
      <c r="A101" s="31" t="s">
        <v>142</v>
      </c>
      <c r="B101" s="39" t="n">
        <v>-0.25</v>
      </c>
      <c r="C101" s="4"/>
      <c r="D101" s="8" t="str">
        <f aca="false">IF(C101="Sí",$D$77*B101,"")</f>
        <v/>
      </c>
    </row>
    <row r="102" customFormat="false" ht="15.75" hidden="false" customHeight="true" outlineLevel="0" collapsed="false">
      <c r="A102" s="31" t="s">
        <v>143</v>
      </c>
      <c r="B102" s="39" t="n">
        <v>-1</v>
      </c>
      <c r="C102" s="4"/>
      <c r="D102" s="8" t="str">
        <f aca="false">IF(C102="Sí",$D$77*B102,"")</f>
        <v/>
      </c>
    </row>
    <row r="103" customFormat="false" ht="15.75" hidden="false" customHeight="true" outlineLevel="0" collapsed="false">
      <c r="A103" s="31" t="s">
        <v>144</v>
      </c>
      <c r="B103" s="39" t="n">
        <v>-1</v>
      </c>
      <c r="C103" s="4"/>
      <c r="D103" s="8" t="str">
        <f aca="false">IF(C103="Sí",$D$77*B103,"")</f>
        <v/>
      </c>
    </row>
    <row r="104" customFormat="false" ht="15.75" hidden="false" customHeight="true" outlineLevel="0" collapsed="false">
      <c r="A104" s="31" t="s">
        <v>145</v>
      </c>
      <c r="B104" s="39" t="n">
        <v>-1</v>
      </c>
      <c r="C104" s="4"/>
      <c r="D104" s="8" t="str">
        <f aca="false">IF(C104="Sí",$D$77*B104,"")</f>
        <v/>
      </c>
    </row>
    <row r="105" customFormat="false" ht="15.75" hidden="false" customHeight="true" outlineLevel="0" collapsed="false">
      <c r="A105" s="31" t="s">
        <v>146</v>
      </c>
      <c r="B105" s="39" t="n">
        <v>-1</v>
      </c>
      <c r="C105" s="4"/>
      <c r="D105" s="8" t="str">
        <f aca="false">IF(C105="Sí",$D$77*B105,"")</f>
        <v/>
      </c>
    </row>
    <row r="106" customFormat="false" ht="15.75" hidden="false" customHeight="true" outlineLevel="0" collapsed="false">
      <c r="A106" s="34" t="s">
        <v>147</v>
      </c>
      <c r="B106" s="36"/>
      <c r="C106" s="36"/>
      <c r="D106" s="16" t="str">
        <f aca="false">IF(SUM(D90:D105)=0,"",SUM(D90:D105))</f>
        <v/>
      </c>
    </row>
    <row r="107" customFormat="false" ht="1.5" hidden="false" customHeight="true" outlineLevel="0" collapsed="false">
      <c r="A107" s="18"/>
      <c r="B107" s="18"/>
      <c r="C107" s="18"/>
      <c r="D107" s="18"/>
    </row>
    <row r="108" customFormat="false" ht="21.75" hidden="false" customHeight="true" outlineLevel="0" collapsed="false">
      <c r="A108" s="40" t="s">
        <v>148</v>
      </c>
      <c r="B108" s="41"/>
      <c r="C108" s="41"/>
      <c r="D108" s="42" t="e">
        <f aca="false">IF(MAX(0,ROUND($D$77+$D$106,2))=0,"",MAX(0,ROUND($D$77+$D$106,2)))</f>
        <v>#VALUE!</v>
      </c>
    </row>
    <row r="109" customFormat="false" ht="1.5" hidden="false" customHeight="true" outlineLevel="0" collapsed="false">
      <c r="A109" s="18"/>
      <c r="B109" s="18"/>
      <c r="C109" s="18"/>
      <c r="D109" s="18"/>
    </row>
    <row r="110" customFormat="false" ht="15.75" hidden="false" customHeight="true" outlineLevel="0" collapsed="false">
      <c r="A110" s="43" t="s">
        <v>149</v>
      </c>
      <c r="B110" s="18"/>
      <c r="C110" s="18"/>
      <c r="D110" s="18"/>
    </row>
    <row r="111" customFormat="false" ht="18" hidden="false" customHeight="true" outlineLevel="0" collapsed="false">
      <c r="A111" s="37"/>
      <c r="B111" s="37"/>
      <c r="C111" s="37"/>
      <c r="D111" s="37"/>
    </row>
    <row r="112" customFormat="false" ht="18" hidden="false" customHeight="true" outlineLevel="0" collapsed="false">
      <c r="A112" s="37"/>
      <c r="B112" s="37"/>
      <c r="C112" s="37"/>
      <c r="D112" s="37"/>
    </row>
    <row r="113" customFormat="false" ht="3" hidden="false" customHeight="true" outlineLevel="0" collapsed="false">
      <c r="A113" s="18"/>
      <c r="B113" s="18"/>
      <c r="C113" s="18"/>
      <c r="D113" s="18"/>
    </row>
    <row r="114" customFormat="false" ht="12" hidden="false" customHeight="true" outlineLevel="0" collapsed="false">
      <c r="A114" s="18"/>
      <c r="B114" s="18"/>
      <c r="C114" s="18"/>
      <c r="D114" s="18"/>
    </row>
    <row r="115" customFormat="false" ht="8.25" hidden="false" customHeight="true" outlineLevel="0" collapsed="false">
      <c r="A115" s="44" t="s">
        <v>150</v>
      </c>
      <c r="B115" s="18"/>
      <c r="C115" s="44" t="s">
        <v>150</v>
      </c>
      <c r="D115" s="18"/>
    </row>
    <row r="116" customFormat="false" ht="13.5" hidden="false" customHeight="true" outlineLevel="0" collapsed="false">
      <c r="A116" s="44" t="s">
        <v>151</v>
      </c>
      <c r="B116" s="18"/>
      <c r="C116" s="44" t="s">
        <v>152</v>
      </c>
      <c r="D116" s="18"/>
    </row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</sheetData>
  <mergeCells count="8">
    <mergeCell ref="A8:D8"/>
    <mergeCell ref="A10:B10"/>
    <mergeCell ref="C10:D10"/>
    <mergeCell ref="A11:B11"/>
    <mergeCell ref="C11:D11"/>
    <mergeCell ref="A12:B12"/>
    <mergeCell ref="A111:D111"/>
    <mergeCell ref="A112:D112"/>
  </mergeCells>
  <conditionalFormatting sqref="D15:D76">
    <cfRule type="cellIs" priority="2" operator="greaterThan" aboveAverage="0" equalAverage="0" bottom="0" percent="0" rank="0" text="" dxfId="10">
      <formula>B15</formula>
    </cfRule>
  </conditionalFormatting>
  <dataValidations count="1">
    <dataValidation allowBlank="true" errorStyle="stop" operator="equal" showDropDown="false" showErrorMessage="false" showInputMessage="false" sqref="B81:B86 C90:C105" type="list">
      <formula1>"Sí,No"</formula1>
      <formula2>0</formula2>
    </dataValidation>
  </dataValidations>
  <printOptions headings="false" gridLines="false" gridLinesSet="true" horizontalCentered="true" verticalCentered="false"/>
  <pageMargins left="0.39375" right="0.39375" top="0.196527777777778" bottom="0.196527777777778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87.43"/>
    <col collapsed="false" customWidth="true" hidden="false" outlineLevel="0" max="2" min="2" style="1" width="11"/>
    <col collapsed="false" customWidth="true" hidden="false" outlineLevel="0" max="3" min="3" style="1" width="34"/>
    <col collapsed="false" customWidth="true" hidden="false" outlineLevel="0" max="4" min="4" style="1" width="11"/>
    <col collapsed="false" customWidth="true" hidden="false" outlineLevel="0" max="26" min="5" style="1" width="8.71"/>
  </cols>
  <sheetData>
    <row r="1" customFormat="false" ht="13.8" hidden="false" customHeight="false" outlineLevel="0" collapsed="false">
      <c r="A1" s="17" t="s">
        <v>41</v>
      </c>
      <c r="B1" s="18"/>
      <c r="C1" s="18"/>
      <c r="D1" s="18"/>
    </row>
    <row r="2" customFormat="false" ht="13.8" hidden="false" customHeight="false" outlineLevel="0" collapsed="false">
      <c r="A2" s="17" t="s">
        <v>42</v>
      </c>
      <c r="B2" s="18"/>
      <c r="C2" s="18"/>
      <c r="D2" s="18"/>
    </row>
    <row r="3" customFormat="false" ht="13.8" hidden="false" customHeight="false" outlineLevel="0" collapsed="false">
      <c r="A3" s="17" t="s">
        <v>43</v>
      </c>
      <c r="B3" s="18"/>
      <c r="C3" s="18"/>
      <c r="D3" s="18"/>
    </row>
    <row r="4" customFormat="false" ht="13.8" hidden="false" customHeight="false" outlineLevel="0" collapsed="false">
      <c r="A4" s="17" t="s">
        <v>44</v>
      </c>
      <c r="B4" s="18"/>
      <c r="C4" s="18"/>
      <c r="D4" s="18"/>
    </row>
    <row r="5" customFormat="false" ht="13.8" hidden="false" customHeight="false" outlineLevel="0" collapsed="false">
      <c r="A5" s="17" t="s">
        <v>45</v>
      </c>
      <c r="B5" s="18"/>
      <c r="C5" s="18"/>
      <c r="D5" s="18"/>
    </row>
    <row r="6" customFormat="false" ht="13.8" hidden="false" customHeight="false" outlineLevel="0" collapsed="false">
      <c r="A6" s="17" t="s">
        <v>46</v>
      </c>
      <c r="B6" s="18"/>
      <c r="C6" s="18"/>
      <c r="D6" s="18"/>
    </row>
    <row r="7" customFormat="false" ht="13.8" hidden="false" customHeight="false" outlineLevel="0" collapsed="false">
      <c r="A7" s="17"/>
      <c r="B7" s="18"/>
      <c r="C7" s="18"/>
      <c r="D7" s="18"/>
    </row>
    <row r="8" customFormat="false" ht="13.8" hidden="false" customHeight="false" outlineLevel="0" collapsed="false">
      <c r="A8" s="19" t="s">
        <v>47</v>
      </c>
      <c r="B8" s="19"/>
      <c r="C8" s="19"/>
      <c r="D8" s="19"/>
    </row>
    <row r="9" customFormat="false" ht="13.8" hidden="false" customHeight="false" outlineLevel="0" collapsed="false">
      <c r="A9" s="20"/>
      <c r="B9" s="20"/>
      <c r="C9" s="20"/>
      <c r="D9" s="20"/>
    </row>
    <row r="10" customFormat="false" ht="13.8" hidden="false" customHeight="false" outlineLevel="0" collapsed="false">
      <c r="A10" s="21" t="s">
        <v>48</v>
      </c>
      <c r="B10" s="21"/>
      <c r="C10" s="22"/>
      <c r="D10" s="22"/>
    </row>
    <row r="11" customFormat="false" ht="13.8" hidden="false" customHeight="false" outlineLevel="0" collapsed="false">
      <c r="A11" s="21" t="s">
        <v>49</v>
      </c>
      <c r="B11" s="21"/>
      <c r="C11" s="23" t="str">
        <f aca="false">VLOOKUP(C12, Consolidado!$B$3:$C$26, 2, 0)</f>
        <v>KEVYN JOSUÉ APÉN OTZOY</v>
      </c>
      <c r="D11" s="23"/>
    </row>
    <row r="12" customFormat="false" ht="13.8" hidden="false" customHeight="false" outlineLevel="0" collapsed="false">
      <c r="A12" s="21" t="s">
        <v>50</v>
      </c>
      <c r="B12" s="21"/>
      <c r="C12" s="45" t="n">
        <v>202507586</v>
      </c>
      <c r="D12" s="23"/>
    </row>
    <row r="13" customFormat="false" ht="13.8" hidden="false" customHeight="false" outlineLevel="0" collapsed="false">
      <c r="A13" s="18"/>
      <c r="B13" s="18"/>
      <c r="C13" s="18"/>
      <c r="D13" s="18"/>
    </row>
    <row r="14" customFormat="false" ht="19.5" hidden="false" customHeight="true" outlineLevel="0" collapsed="false">
      <c r="A14" s="24" t="s">
        <v>51</v>
      </c>
      <c r="B14" s="24" t="s">
        <v>52</v>
      </c>
      <c r="C14" s="24" t="s">
        <v>53</v>
      </c>
      <c r="D14" s="24" t="s">
        <v>54</v>
      </c>
    </row>
    <row r="15" customFormat="false" ht="19.5" hidden="false" customHeight="true" outlineLevel="0" collapsed="false">
      <c r="A15" s="25" t="s">
        <v>55</v>
      </c>
      <c r="B15" s="26" t="n">
        <f aca="false">B16+B21+B25</f>
        <v>20</v>
      </c>
      <c r="C15" s="25"/>
      <c r="D15" s="27" t="n">
        <f aca="false">IF(D16+D21+D25=0,"",D16+D21+D25)</f>
        <v>20</v>
      </c>
    </row>
    <row r="16" customFormat="false" ht="18" hidden="false" customHeight="true" outlineLevel="0" collapsed="false">
      <c r="A16" s="28" t="s">
        <v>56</v>
      </c>
      <c r="B16" s="29" t="n">
        <f aca="false">SUM(B17:B20)</f>
        <v>8</v>
      </c>
      <c r="C16" s="28"/>
      <c r="D16" s="30" t="n">
        <f aca="false">SUM(D17:D20)</f>
        <v>8</v>
      </c>
    </row>
    <row r="17" customFormat="false" ht="15" hidden="false" customHeight="true" outlineLevel="0" collapsed="false">
      <c r="A17" s="31" t="s">
        <v>57</v>
      </c>
      <c r="B17" s="32" t="n">
        <v>2</v>
      </c>
      <c r="C17" s="31"/>
      <c r="D17" s="33" t="n">
        <v>2</v>
      </c>
    </row>
    <row r="18" customFormat="false" ht="15" hidden="false" customHeight="true" outlineLevel="0" collapsed="false">
      <c r="A18" s="31" t="s">
        <v>58</v>
      </c>
      <c r="B18" s="32" t="n">
        <v>2</v>
      </c>
      <c r="C18" s="31"/>
      <c r="D18" s="33" t="n">
        <v>2</v>
      </c>
    </row>
    <row r="19" customFormat="false" ht="15" hidden="false" customHeight="true" outlineLevel="0" collapsed="false">
      <c r="A19" s="31" t="s">
        <v>59</v>
      </c>
      <c r="B19" s="32" t="n">
        <v>2</v>
      </c>
      <c r="C19" s="31"/>
      <c r="D19" s="33" t="n">
        <v>2</v>
      </c>
    </row>
    <row r="20" customFormat="false" ht="15" hidden="false" customHeight="true" outlineLevel="0" collapsed="false">
      <c r="A20" s="31" t="s">
        <v>60</v>
      </c>
      <c r="B20" s="32" t="n">
        <v>2</v>
      </c>
      <c r="C20" s="31"/>
      <c r="D20" s="33" t="n">
        <v>2</v>
      </c>
    </row>
    <row r="21" customFormat="false" ht="18" hidden="false" customHeight="true" outlineLevel="0" collapsed="false">
      <c r="A21" s="28" t="s">
        <v>61</v>
      </c>
      <c r="B21" s="29" t="n">
        <f aca="false">SUM(B22:B24)</f>
        <v>6</v>
      </c>
      <c r="C21" s="28"/>
      <c r="D21" s="30" t="n">
        <f aca="false">SUM(D22:D24)</f>
        <v>6</v>
      </c>
    </row>
    <row r="22" customFormat="false" ht="15" hidden="false" customHeight="true" outlineLevel="0" collapsed="false">
      <c r="A22" s="31" t="s">
        <v>62</v>
      </c>
      <c r="B22" s="32" t="n">
        <v>2</v>
      </c>
      <c r="C22" s="31"/>
      <c r="D22" s="33" t="n">
        <v>2</v>
      </c>
    </row>
    <row r="23" customFormat="false" ht="15" hidden="false" customHeight="true" outlineLevel="0" collapsed="false">
      <c r="A23" s="31" t="s">
        <v>63</v>
      </c>
      <c r="B23" s="32" t="n">
        <v>2</v>
      </c>
      <c r="C23" s="31"/>
      <c r="D23" s="33" t="n">
        <v>2</v>
      </c>
    </row>
    <row r="24" customFormat="false" ht="15" hidden="false" customHeight="true" outlineLevel="0" collapsed="false">
      <c r="A24" s="31" t="s">
        <v>64</v>
      </c>
      <c r="B24" s="32" t="n">
        <v>2</v>
      </c>
      <c r="C24" s="31"/>
      <c r="D24" s="33" t="n">
        <v>2</v>
      </c>
    </row>
    <row r="25" customFormat="false" ht="18" hidden="false" customHeight="true" outlineLevel="0" collapsed="false">
      <c r="A25" s="28" t="s">
        <v>65</v>
      </c>
      <c r="B25" s="29" t="n">
        <f aca="false">SUM(B26:B28)</f>
        <v>6</v>
      </c>
      <c r="C25" s="28"/>
      <c r="D25" s="30" t="n">
        <f aca="false">SUM(D26:D28)</f>
        <v>6</v>
      </c>
    </row>
    <row r="26" customFormat="false" ht="16.5" hidden="false" customHeight="true" outlineLevel="0" collapsed="false">
      <c r="A26" s="31" t="s">
        <v>66</v>
      </c>
      <c r="B26" s="32" t="n">
        <v>2</v>
      </c>
      <c r="C26" s="31"/>
      <c r="D26" s="33" t="n">
        <v>2</v>
      </c>
    </row>
    <row r="27" customFormat="false" ht="15" hidden="false" customHeight="true" outlineLevel="0" collapsed="false">
      <c r="A27" s="31" t="s">
        <v>67</v>
      </c>
      <c r="B27" s="32" t="n">
        <v>2</v>
      </c>
      <c r="C27" s="31"/>
      <c r="D27" s="33" t="n">
        <v>2</v>
      </c>
    </row>
    <row r="28" customFormat="false" ht="15" hidden="false" customHeight="true" outlineLevel="0" collapsed="false">
      <c r="A28" s="31" t="s">
        <v>68</v>
      </c>
      <c r="B28" s="32" t="n">
        <v>2</v>
      </c>
      <c r="C28" s="31"/>
      <c r="D28" s="33" t="n">
        <v>2</v>
      </c>
    </row>
    <row r="29" customFormat="false" ht="19.5" hidden="false" customHeight="true" outlineLevel="0" collapsed="false">
      <c r="A29" s="25" t="s">
        <v>69</v>
      </c>
      <c r="B29" s="26" t="n">
        <f aca="false">B30+B34+B40+B44+B49+B53+B58+B63</f>
        <v>55</v>
      </c>
      <c r="C29" s="25"/>
      <c r="D29" s="27" t="n">
        <f aca="false">IF(D30+D34+D40+D44+D49+D53+D58+D63=0,"",D30+D34+D40+D44+D49+D53+D58+D63)</f>
        <v>22</v>
      </c>
    </row>
    <row r="30" customFormat="false" ht="18" hidden="false" customHeight="true" outlineLevel="0" collapsed="false">
      <c r="A30" s="28" t="s">
        <v>70</v>
      </c>
      <c r="B30" s="29" t="n">
        <f aca="false">SUM(B31:B33)</f>
        <v>5</v>
      </c>
      <c r="C30" s="28"/>
      <c r="D30" s="30" t="n">
        <f aca="false">SUM(D31:D33)</f>
        <v>3</v>
      </c>
    </row>
    <row r="31" customFormat="false" ht="15" hidden="false" customHeight="true" outlineLevel="0" collapsed="false">
      <c r="A31" s="31" t="s">
        <v>71</v>
      </c>
      <c r="B31" s="32" t="n">
        <v>2</v>
      </c>
      <c r="C31" s="31"/>
      <c r="D31" s="33" t="n">
        <v>2</v>
      </c>
    </row>
    <row r="32" customFormat="false" ht="15" hidden="false" customHeight="true" outlineLevel="0" collapsed="false">
      <c r="A32" s="31" t="s">
        <v>72</v>
      </c>
      <c r="B32" s="32" t="n">
        <v>2</v>
      </c>
      <c r="C32" s="31"/>
      <c r="D32" s="33" t="n">
        <v>1</v>
      </c>
    </row>
    <row r="33" customFormat="false" ht="15" hidden="false" customHeight="true" outlineLevel="0" collapsed="false">
      <c r="A33" s="31" t="s">
        <v>73</v>
      </c>
      <c r="B33" s="32" t="n">
        <v>1</v>
      </c>
      <c r="C33" s="31"/>
      <c r="D33" s="33" t="n">
        <v>0</v>
      </c>
    </row>
    <row r="34" customFormat="false" ht="18" hidden="false" customHeight="true" outlineLevel="0" collapsed="false">
      <c r="A34" s="28" t="s">
        <v>74</v>
      </c>
      <c r="B34" s="29" t="n">
        <f aca="false">SUM(B35:B39)</f>
        <v>10</v>
      </c>
      <c r="C34" s="28"/>
      <c r="D34" s="30" t="n">
        <f aca="false">SUM(D35:D39)</f>
        <v>3</v>
      </c>
    </row>
    <row r="35" customFormat="false" ht="15" hidden="false" customHeight="true" outlineLevel="0" collapsed="false">
      <c r="A35" s="31" t="s">
        <v>75</v>
      </c>
      <c r="B35" s="32" t="n">
        <v>3</v>
      </c>
      <c r="C35" s="31"/>
      <c r="D35" s="33" t="n">
        <v>3</v>
      </c>
    </row>
    <row r="36" customFormat="false" ht="15" hidden="false" customHeight="true" outlineLevel="0" collapsed="false">
      <c r="A36" s="31" t="s">
        <v>76</v>
      </c>
      <c r="B36" s="32" t="n">
        <v>2</v>
      </c>
      <c r="C36" s="31"/>
      <c r="D36" s="33" t="n">
        <v>0</v>
      </c>
    </row>
    <row r="37" customFormat="false" ht="15" hidden="false" customHeight="true" outlineLevel="0" collapsed="false">
      <c r="A37" s="31" t="s">
        <v>77</v>
      </c>
      <c r="B37" s="32" t="n">
        <v>2</v>
      </c>
      <c r="C37" s="31"/>
      <c r="D37" s="33" t="n">
        <v>0</v>
      </c>
    </row>
    <row r="38" customFormat="false" ht="15" hidden="false" customHeight="true" outlineLevel="0" collapsed="false">
      <c r="A38" s="31" t="s">
        <v>78</v>
      </c>
      <c r="B38" s="32" t="n">
        <v>1</v>
      </c>
      <c r="C38" s="31"/>
      <c r="D38" s="33" t="n">
        <v>0</v>
      </c>
    </row>
    <row r="39" customFormat="false" ht="15" hidden="false" customHeight="true" outlineLevel="0" collapsed="false">
      <c r="A39" s="31" t="s">
        <v>79</v>
      </c>
      <c r="B39" s="32" t="n">
        <v>2</v>
      </c>
      <c r="C39" s="31"/>
      <c r="D39" s="33" t="n">
        <v>0</v>
      </c>
    </row>
    <row r="40" customFormat="false" ht="18" hidden="false" customHeight="true" outlineLevel="0" collapsed="false">
      <c r="A40" s="28" t="s">
        <v>80</v>
      </c>
      <c r="B40" s="29" t="n">
        <f aca="false">SUM(B41:B43)</f>
        <v>6</v>
      </c>
      <c r="C40" s="28"/>
      <c r="D40" s="30" t="n">
        <f aca="false">SUM(D41:D43)</f>
        <v>2</v>
      </c>
    </row>
    <row r="41" customFormat="false" ht="15" hidden="false" customHeight="true" outlineLevel="0" collapsed="false">
      <c r="A41" s="31" t="s">
        <v>81</v>
      </c>
      <c r="B41" s="32" t="n">
        <v>2</v>
      </c>
      <c r="C41" s="31"/>
      <c r="D41" s="33" t="n">
        <v>2</v>
      </c>
    </row>
    <row r="42" customFormat="false" ht="15" hidden="false" customHeight="true" outlineLevel="0" collapsed="false">
      <c r="A42" s="31" t="s">
        <v>82</v>
      </c>
      <c r="B42" s="32" t="n">
        <v>2</v>
      </c>
      <c r="C42" s="31"/>
      <c r="D42" s="33" t="n">
        <v>0</v>
      </c>
    </row>
    <row r="43" customFormat="false" ht="15" hidden="false" customHeight="true" outlineLevel="0" collapsed="false">
      <c r="A43" s="31" t="s">
        <v>83</v>
      </c>
      <c r="B43" s="32" t="n">
        <v>2</v>
      </c>
      <c r="C43" s="31"/>
      <c r="D43" s="33" t="n">
        <v>0</v>
      </c>
    </row>
    <row r="44" customFormat="false" ht="18" hidden="false" customHeight="true" outlineLevel="0" collapsed="false">
      <c r="A44" s="28" t="s">
        <v>84</v>
      </c>
      <c r="B44" s="29" t="n">
        <f aca="false">SUM(B45:B48)</f>
        <v>8</v>
      </c>
      <c r="C44" s="28"/>
      <c r="D44" s="30" t="n">
        <f aca="false">SUM(D45:D48)</f>
        <v>0</v>
      </c>
    </row>
    <row r="45" customFormat="false" ht="15" hidden="false" customHeight="true" outlineLevel="0" collapsed="false">
      <c r="A45" s="31" t="s">
        <v>85</v>
      </c>
      <c r="B45" s="32" t="n">
        <v>2</v>
      </c>
      <c r="C45" s="31"/>
      <c r="D45" s="33" t="n">
        <v>0</v>
      </c>
    </row>
    <row r="46" customFormat="false" ht="15" hidden="false" customHeight="true" outlineLevel="0" collapsed="false">
      <c r="A46" s="31" t="s">
        <v>86</v>
      </c>
      <c r="B46" s="32" t="n">
        <v>3</v>
      </c>
      <c r="C46" s="31"/>
      <c r="D46" s="33" t="n">
        <v>0</v>
      </c>
    </row>
    <row r="47" customFormat="false" ht="15" hidden="false" customHeight="true" outlineLevel="0" collapsed="false">
      <c r="A47" s="31" t="s">
        <v>87</v>
      </c>
      <c r="B47" s="32" t="n">
        <v>2</v>
      </c>
      <c r="C47" s="31"/>
      <c r="D47" s="33" t="n">
        <v>0</v>
      </c>
    </row>
    <row r="48" customFormat="false" ht="15" hidden="false" customHeight="true" outlineLevel="0" collapsed="false">
      <c r="A48" s="31" t="s">
        <v>88</v>
      </c>
      <c r="B48" s="32" t="n">
        <v>1</v>
      </c>
      <c r="C48" s="31"/>
      <c r="D48" s="33" t="n">
        <v>0</v>
      </c>
    </row>
    <row r="49" customFormat="false" ht="18" hidden="false" customHeight="true" outlineLevel="0" collapsed="false">
      <c r="A49" s="28" t="s">
        <v>89</v>
      </c>
      <c r="B49" s="29" t="n">
        <f aca="false">SUM(B50:B52)</f>
        <v>6</v>
      </c>
      <c r="C49" s="28"/>
      <c r="D49" s="30" t="n">
        <f aca="false">SUM(D50:D52)</f>
        <v>0</v>
      </c>
    </row>
    <row r="50" customFormat="false" ht="15" hidden="false" customHeight="true" outlineLevel="0" collapsed="false">
      <c r="A50" s="31" t="s">
        <v>90</v>
      </c>
      <c r="B50" s="32" t="n">
        <v>2</v>
      </c>
      <c r="C50" s="31"/>
      <c r="D50" s="33" t="n">
        <v>0</v>
      </c>
    </row>
    <row r="51" customFormat="false" ht="15" hidden="false" customHeight="true" outlineLevel="0" collapsed="false">
      <c r="A51" s="31" t="s">
        <v>91</v>
      </c>
      <c r="B51" s="32" t="n">
        <v>2</v>
      </c>
      <c r="C51" s="31"/>
      <c r="D51" s="33" t="n">
        <v>0</v>
      </c>
    </row>
    <row r="52" customFormat="false" ht="15" hidden="false" customHeight="true" outlineLevel="0" collapsed="false">
      <c r="A52" s="31" t="s">
        <v>92</v>
      </c>
      <c r="B52" s="32" t="n">
        <v>2</v>
      </c>
      <c r="C52" s="31"/>
      <c r="D52" s="33" t="n">
        <v>0</v>
      </c>
    </row>
    <row r="53" customFormat="false" ht="18" hidden="false" customHeight="true" outlineLevel="0" collapsed="false">
      <c r="A53" s="28" t="s">
        <v>93</v>
      </c>
      <c r="B53" s="29" t="n">
        <f aca="false">SUM(B54:B57)</f>
        <v>8</v>
      </c>
      <c r="C53" s="28"/>
      <c r="D53" s="30" t="n">
        <f aca="false">SUM(D54:D57)</f>
        <v>8</v>
      </c>
    </row>
    <row r="54" customFormat="false" ht="15" hidden="false" customHeight="true" outlineLevel="0" collapsed="false">
      <c r="A54" s="31" t="s">
        <v>94</v>
      </c>
      <c r="B54" s="32" t="n">
        <v>2</v>
      </c>
      <c r="C54" s="31"/>
      <c r="D54" s="33" t="n">
        <v>2</v>
      </c>
    </row>
    <row r="55" customFormat="false" ht="15" hidden="false" customHeight="true" outlineLevel="0" collapsed="false">
      <c r="A55" s="31" t="s">
        <v>95</v>
      </c>
      <c r="B55" s="32" t="n">
        <v>3</v>
      </c>
      <c r="C55" s="31"/>
      <c r="D55" s="33" t="n">
        <v>3</v>
      </c>
    </row>
    <row r="56" customFormat="false" ht="15" hidden="false" customHeight="true" outlineLevel="0" collapsed="false">
      <c r="A56" s="31" t="s">
        <v>96</v>
      </c>
      <c r="B56" s="32" t="n">
        <v>2</v>
      </c>
      <c r="C56" s="31"/>
      <c r="D56" s="33" t="n">
        <v>2</v>
      </c>
    </row>
    <row r="57" customFormat="false" ht="15" hidden="false" customHeight="true" outlineLevel="0" collapsed="false">
      <c r="A57" s="31" t="s">
        <v>97</v>
      </c>
      <c r="B57" s="32" t="n">
        <v>1</v>
      </c>
      <c r="C57" s="31"/>
      <c r="D57" s="33" t="n">
        <v>1</v>
      </c>
    </row>
    <row r="58" customFormat="false" ht="18" hidden="false" customHeight="true" outlineLevel="0" collapsed="false">
      <c r="A58" s="28" t="s">
        <v>98</v>
      </c>
      <c r="B58" s="29" t="n">
        <f aca="false">SUM(B59:B62)</f>
        <v>6</v>
      </c>
      <c r="C58" s="28"/>
      <c r="D58" s="30" t="n">
        <f aca="false">SUM(D59:D62)</f>
        <v>0</v>
      </c>
    </row>
    <row r="59" customFormat="false" ht="15" hidden="false" customHeight="true" outlineLevel="0" collapsed="false">
      <c r="A59" s="31" t="s">
        <v>99</v>
      </c>
      <c r="B59" s="32" t="n">
        <v>2</v>
      </c>
      <c r="C59" s="31"/>
      <c r="D59" s="33" t="n">
        <v>0</v>
      </c>
    </row>
    <row r="60" customFormat="false" ht="15" hidden="false" customHeight="true" outlineLevel="0" collapsed="false">
      <c r="A60" s="31" t="s">
        <v>100</v>
      </c>
      <c r="B60" s="32" t="n">
        <v>2</v>
      </c>
      <c r="C60" s="31"/>
      <c r="D60" s="33" t="n">
        <v>0</v>
      </c>
    </row>
    <row r="61" customFormat="false" ht="15" hidden="false" customHeight="true" outlineLevel="0" collapsed="false">
      <c r="A61" s="31" t="s">
        <v>101</v>
      </c>
      <c r="B61" s="32" t="n">
        <v>1</v>
      </c>
      <c r="C61" s="31"/>
      <c r="D61" s="33" t="n">
        <v>0</v>
      </c>
    </row>
    <row r="62" customFormat="false" ht="15" hidden="false" customHeight="true" outlineLevel="0" collapsed="false">
      <c r="A62" s="31" t="s">
        <v>102</v>
      </c>
      <c r="B62" s="32" t="n">
        <v>1</v>
      </c>
      <c r="C62" s="31"/>
      <c r="D62" s="33" t="n">
        <v>0</v>
      </c>
    </row>
    <row r="63" customFormat="false" ht="15" hidden="false" customHeight="true" outlineLevel="0" collapsed="false">
      <c r="A63" s="28" t="s">
        <v>103</v>
      </c>
      <c r="B63" s="29" t="n">
        <f aca="false">SUM(B64:B65)</f>
        <v>6</v>
      </c>
      <c r="C63" s="28"/>
      <c r="D63" s="30" t="n">
        <f aca="false">SUM(D64:D65)</f>
        <v>6</v>
      </c>
    </row>
    <row r="64" customFormat="false" ht="15" hidden="false" customHeight="true" outlineLevel="0" collapsed="false">
      <c r="A64" s="31" t="s">
        <v>104</v>
      </c>
      <c r="B64" s="32" t="n">
        <v>3</v>
      </c>
      <c r="C64" s="31"/>
      <c r="D64" s="33" t="n">
        <v>3</v>
      </c>
    </row>
    <row r="65" customFormat="false" ht="15" hidden="false" customHeight="true" outlineLevel="0" collapsed="false">
      <c r="A65" s="31" t="s">
        <v>105</v>
      </c>
      <c r="B65" s="32" t="n">
        <v>3</v>
      </c>
      <c r="C65" s="31"/>
      <c r="D65" s="33" t="n">
        <v>3</v>
      </c>
    </row>
    <row r="66" customFormat="false" ht="19.5" hidden="false" customHeight="true" outlineLevel="0" collapsed="false">
      <c r="A66" s="25" t="s">
        <v>106</v>
      </c>
      <c r="B66" s="26" t="n">
        <f aca="false">B67+B73</f>
        <v>25</v>
      </c>
      <c r="C66" s="25"/>
      <c r="D66" s="27" t="n">
        <f aca="false">IF(D67+D73=0,"",D67+D73)</f>
        <v>13</v>
      </c>
    </row>
    <row r="67" customFormat="false" ht="18" hidden="false" customHeight="true" outlineLevel="0" collapsed="false">
      <c r="A67" s="28" t="s">
        <v>107</v>
      </c>
      <c r="B67" s="29" t="n">
        <f aca="false">SUM(B68:B72)</f>
        <v>10</v>
      </c>
      <c r="C67" s="28"/>
      <c r="D67" s="30" t="n">
        <f aca="false">IF(SUM(D68:D72)=0,"",SUM(D68:D72))</f>
        <v>8</v>
      </c>
    </row>
    <row r="68" customFormat="false" ht="15" hidden="false" customHeight="true" outlineLevel="0" collapsed="false">
      <c r="A68" s="31" t="s">
        <v>108</v>
      </c>
      <c r="B68" s="32" t="n">
        <v>2</v>
      </c>
      <c r="C68" s="31"/>
      <c r="D68" s="33" t="n">
        <v>2</v>
      </c>
    </row>
    <row r="69" customFormat="false" ht="15" hidden="false" customHeight="true" outlineLevel="0" collapsed="false">
      <c r="A69" s="31" t="s">
        <v>109</v>
      </c>
      <c r="B69" s="32" t="n">
        <v>2</v>
      </c>
      <c r="C69" s="31"/>
      <c r="D69" s="33" t="n">
        <v>2</v>
      </c>
    </row>
    <row r="70" customFormat="false" ht="15" hidden="false" customHeight="true" outlineLevel="0" collapsed="false">
      <c r="A70" s="31" t="s">
        <v>110</v>
      </c>
      <c r="B70" s="32" t="n">
        <v>2</v>
      </c>
      <c r="C70" s="31"/>
      <c r="D70" s="33" t="n">
        <v>2</v>
      </c>
    </row>
    <row r="71" customFormat="false" ht="15" hidden="false" customHeight="true" outlineLevel="0" collapsed="false">
      <c r="A71" s="31" t="s">
        <v>111</v>
      </c>
      <c r="B71" s="32" t="n">
        <v>2</v>
      </c>
      <c r="C71" s="31"/>
      <c r="D71" s="33" t="n">
        <v>2</v>
      </c>
    </row>
    <row r="72" customFormat="false" ht="15" hidden="false" customHeight="true" outlineLevel="0" collapsed="false">
      <c r="A72" s="31" t="s">
        <v>112</v>
      </c>
      <c r="B72" s="32" t="n">
        <v>2</v>
      </c>
      <c r="C72" s="31"/>
      <c r="D72" s="33" t="n">
        <v>0</v>
      </c>
    </row>
    <row r="73" customFormat="false" ht="18" hidden="false" customHeight="true" outlineLevel="0" collapsed="false">
      <c r="A73" s="28" t="s">
        <v>113</v>
      </c>
      <c r="B73" s="29" t="n">
        <f aca="false">SUM(B74:B76)</f>
        <v>15</v>
      </c>
      <c r="C73" s="28"/>
      <c r="D73" s="30" t="n">
        <f aca="false">SUM(D74:D76)</f>
        <v>5</v>
      </c>
    </row>
    <row r="74" customFormat="false" ht="15" hidden="false" customHeight="true" outlineLevel="0" collapsed="false">
      <c r="A74" s="31" t="s">
        <v>114</v>
      </c>
      <c r="B74" s="32" t="n">
        <v>5</v>
      </c>
      <c r="C74" s="31"/>
      <c r="D74" s="33" t="n">
        <v>5</v>
      </c>
    </row>
    <row r="75" customFormat="false" ht="15" hidden="false" customHeight="true" outlineLevel="0" collapsed="false">
      <c r="A75" s="31" t="s">
        <v>115</v>
      </c>
      <c r="B75" s="32" t="n">
        <v>5</v>
      </c>
      <c r="C75" s="31"/>
      <c r="D75" s="33" t="n">
        <v>0</v>
      </c>
    </row>
    <row r="76" customFormat="false" ht="15" hidden="false" customHeight="true" outlineLevel="0" collapsed="false">
      <c r="A76" s="31" t="s">
        <v>116</v>
      </c>
      <c r="B76" s="32" t="n">
        <v>5</v>
      </c>
      <c r="C76" s="31"/>
      <c r="D76" s="33" t="n">
        <v>0</v>
      </c>
    </row>
    <row r="77" customFormat="false" ht="19.5" hidden="false" customHeight="true" outlineLevel="0" collapsed="false">
      <c r="A77" s="34" t="s">
        <v>117</v>
      </c>
      <c r="B77" s="35" t="n">
        <f aca="false">B15+B29+B66</f>
        <v>100</v>
      </c>
      <c r="C77" s="36"/>
      <c r="D77" s="16" t="n">
        <f aca="false">IF(D15+D29+D66=0,"",D15+D29+D66)</f>
        <v>55</v>
      </c>
    </row>
    <row r="78" customFormat="false" ht="1.5" hidden="false" customHeight="true" outlineLevel="0" collapsed="false">
      <c r="A78" s="18"/>
      <c r="B78" s="18"/>
      <c r="C78" s="18"/>
      <c r="D78" s="18"/>
    </row>
    <row r="79" customFormat="false" ht="15.75" hidden="false" customHeight="true" outlineLevel="0" collapsed="false">
      <c r="A79" s="17" t="s">
        <v>118</v>
      </c>
      <c r="B79" s="18"/>
      <c r="C79" s="18"/>
      <c r="D79" s="18"/>
    </row>
    <row r="80" customFormat="false" ht="15.75" hidden="false" customHeight="true" outlineLevel="0" collapsed="false">
      <c r="A80" s="24" t="s">
        <v>119</v>
      </c>
      <c r="B80" s="24" t="s">
        <v>120</v>
      </c>
      <c r="C80" s="24" t="s">
        <v>53</v>
      </c>
      <c r="D80" s="24"/>
    </row>
    <row r="81" customFormat="false" ht="15.75" hidden="false" customHeight="true" outlineLevel="0" collapsed="false">
      <c r="A81" s="31" t="s">
        <v>121</v>
      </c>
      <c r="B81" s="4"/>
      <c r="C81" s="37"/>
      <c r="D81" s="38"/>
    </row>
    <row r="82" customFormat="false" ht="15.75" hidden="false" customHeight="true" outlineLevel="0" collapsed="false">
      <c r="A82" s="31" t="s">
        <v>122</v>
      </c>
      <c r="B82" s="4"/>
      <c r="C82" s="37"/>
      <c r="D82" s="38"/>
    </row>
    <row r="83" customFormat="false" ht="15.75" hidden="false" customHeight="true" outlineLevel="0" collapsed="false">
      <c r="A83" s="31" t="s">
        <v>123</v>
      </c>
      <c r="B83" s="4"/>
      <c r="C83" s="37"/>
      <c r="D83" s="38"/>
    </row>
    <row r="84" customFormat="false" ht="15.75" hidden="false" customHeight="true" outlineLevel="0" collapsed="false">
      <c r="A84" s="31" t="s">
        <v>124</v>
      </c>
      <c r="B84" s="4"/>
      <c r="C84" s="37"/>
      <c r="D84" s="38"/>
    </row>
    <row r="85" customFormat="false" ht="15.75" hidden="false" customHeight="true" outlineLevel="0" collapsed="false">
      <c r="A85" s="31" t="s">
        <v>125</v>
      </c>
      <c r="B85" s="4"/>
      <c r="C85" s="37"/>
      <c r="D85" s="38"/>
    </row>
    <row r="86" customFormat="false" ht="15.75" hidden="false" customHeight="true" outlineLevel="0" collapsed="false">
      <c r="A86" s="31" t="s">
        <v>126</v>
      </c>
      <c r="B86" s="4"/>
      <c r="C86" s="37"/>
      <c r="D86" s="38"/>
    </row>
    <row r="87" customFormat="false" ht="1.5" hidden="false" customHeight="true" outlineLevel="0" collapsed="false">
      <c r="A87" s="18"/>
      <c r="B87" s="18"/>
      <c r="C87" s="18"/>
      <c r="D87" s="18"/>
    </row>
    <row r="88" customFormat="false" ht="15.75" hidden="false" customHeight="true" outlineLevel="0" collapsed="false">
      <c r="A88" s="17" t="s">
        <v>127</v>
      </c>
      <c r="B88" s="18"/>
      <c r="C88" s="18"/>
      <c r="D88" s="18"/>
    </row>
    <row r="89" customFormat="false" ht="15.75" hidden="false" customHeight="true" outlineLevel="0" collapsed="false">
      <c r="A89" s="24" t="s">
        <v>128</v>
      </c>
      <c r="B89" s="24" t="s">
        <v>8</v>
      </c>
      <c r="C89" s="24" t="s">
        <v>129</v>
      </c>
      <c r="D89" s="24" t="s">
        <v>130</v>
      </c>
    </row>
    <row r="90" customFormat="false" ht="15.75" hidden="false" customHeight="true" outlineLevel="0" collapsed="false">
      <c r="A90" s="31" t="s">
        <v>131</v>
      </c>
      <c r="B90" s="39" t="n">
        <v>-0.3</v>
      </c>
      <c r="C90" s="4"/>
      <c r="D90" s="8" t="str">
        <f aca="false">IF(C90="Sí",$D$77*B90,"")</f>
        <v/>
      </c>
    </row>
    <row r="91" customFormat="false" ht="15.75" hidden="false" customHeight="true" outlineLevel="0" collapsed="false">
      <c r="A91" s="31" t="s">
        <v>132</v>
      </c>
      <c r="B91" s="39" t="n">
        <v>-0.2</v>
      </c>
      <c r="C91" s="4"/>
      <c r="D91" s="8" t="str">
        <f aca="false">IF(C91="Sí",$D$77*B91,"")</f>
        <v/>
      </c>
    </row>
    <row r="92" customFormat="false" ht="15.75" hidden="false" customHeight="true" outlineLevel="0" collapsed="false">
      <c r="A92" s="31" t="s">
        <v>133</v>
      </c>
      <c r="B92" s="39" t="n">
        <v>-1</v>
      </c>
      <c r="C92" s="4"/>
      <c r="D92" s="8" t="str">
        <f aca="false">IF(C92="Sí",$D$77*B92,"")</f>
        <v/>
      </c>
    </row>
    <row r="93" customFormat="false" ht="15.75" hidden="false" customHeight="true" outlineLevel="0" collapsed="false">
      <c r="A93" s="31" t="s">
        <v>134</v>
      </c>
      <c r="B93" s="39" t="n">
        <v>-0.2</v>
      </c>
      <c r="C93" s="4"/>
      <c r="D93" s="8" t="str">
        <f aca="false">IF(C93="Sí",$D$77*B93,"")</f>
        <v/>
      </c>
    </row>
    <row r="94" customFormat="false" ht="15.75" hidden="false" customHeight="true" outlineLevel="0" collapsed="false">
      <c r="A94" s="31" t="s">
        <v>135</v>
      </c>
      <c r="B94" s="39" t="n">
        <v>-1</v>
      </c>
      <c r="C94" s="4"/>
      <c r="D94" s="8" t="str">
        <f aca="false">IF(C94="Sí",$D$77*B94,"")</f>
        <v/>
      </c>
    </row>
    <row r="95" customFormat="false" ht="15.75" hidden="false" customHeight="true" outlineLevel="0" collapsed="false">
      <c r="A95" s="31" t="s">
        <v>136</v>
      </c>
      <c r="B95" s="39" t="n">
        <v>-0.75</v>
      </c>
      <c r="C95" s="4"/>
      <c r="D95" s="8" t="str">
        <f aca="false">IF(C95="Sí",$D$77*B95,"")</f>
        <v/>
      </c>
    </row>
    <row r="96" customFormat="false" ht="15.75" hidden="false" customHeight="true" outlineLevel="0" collapsed="false">
      <c r="A96" s="31" t="s">
        <v>137</v>
      </c>
      <c r="B96" s="39" t="n">
        <v>-0.75</v>
      </c>
      <c r="C96" s="4"/>
      <c r="D96" s="8" t="str">
        <f aca="false">IF(C96="Sí",$D$77*B96,"")</f>
        <v/>
      </c>
    </row>
    <row r="97" customFormat="false" ht="15.75" hidden="false" customHeight="true" outlineLevel="0" collapsed="false">
      <c r="A97" s="31" t="s">
        <v>138</v>
      </c>
      <c r="B97" s="39" t="n">
        <v>-1</v>
      </c>
      <c r="C97" s="4"/>
      <c r="D97" s="8" t="str">
        <f aca="false">IF(C97="Sí",$D$77*B97,"")</f>
        <v/>
      </c>
    </row>
    <row r="98" customFormat="false" ht="15.75" hidden="false" customHeight="true" outlineLevel="0" collapsed="false">
      <c r="A98" s="31" t="s">
        <v>139</v>
      </c>
      <c r="B98" s="39" t="n">
        <v>-0.5</v>
      </c>
      <c r="C98" s="4"/>
      <c r="D98" s="8" t="str">
        <f aca="false">IF(C98="Sí",$D$77*B98,"")</f>
        <v/>
      </c>
    </row>
    <row r="99" customFormat="false" ht="15.75" hidden="false" customHeight="true" outlineLevel="0" collapsed="false">
      <c r="A99" s="31" t="s">
        <v>140</v>
      </c>
      <c r="B99" s="39" t="n">
        <v>-1</v>
      </c>
      <c r="C99" s="4"/>
      <c r="D99" s="8" t="str">
        <f aca="false">IF(C99="Sí",$D$77*B99,"")</f>
        <v/>
      </c>
    </row>
    <row r="100" customFormat="false" ht="15.75" hidden="false" customHeight="true" outlineLevel="0" collapsed="false">
      <c r="A100" s="31" t="s">
        <v>141</v>
      </c>
      <c r="B100" s="39" t="n">
        <v>-1</v>
      </c>
      <c r="C100" s="4"/>
      <c r="D100" s="8" t="str">
        <f aca="false">IF(C100="Sí",$D$77*B100,"")</f>
        <v/>
      </c>
    </row>
    <row r="101" customFormat="false" ht="15.75" hidden="false" customHeight="true" outlineLevel="0" collapsed="false">
      <c r="A101" s="31" t="s">
        <v>142</v>
      </c>
      <c r="B101" s="39" t="n">
        <v>-0.25</v>
      </c>
      <c r="C101" s="4"/>
      <c r="D101" s="8" t="str">
        <f aca="false">IF(C101="Sí",$D$77*B101,"")</f>
        <v/>
      </c>
    </row>
    <row r="102" customFormat="false" ht="15.75" hidden="false" customHeight="true" outlineLevel="0" collapsed="false">
      <c r="A102" s="31" t="s">
        <v>143</v>
      </c>
      <c r="B102" s="39" t="n">
        <v>-1</v>
      </c>
      <c r="C102" s="4"/>
      <c r="D102" s="8" t="str">
        <f aca="false">IF(C102="Sí",$D$77*B102,"")</f>
        <v/>
      </c>
    </row>
    <row r="103" customFormat="false" ht="15.75" hidden="false" customHeight="true" outlineLevel="0" collapsed="false">
      <c r="A103" s="31" t="s">
        <v>144</v>
      </c>
      <c r="B103" s="39" t="n">
        <v>-1</v>
      </c>
      <c r="C103" s="4"/>
      <c r="D103" s="8" t="str">
        <f aca="false">IF(C103="Sí",$D$77*B103,"")</f>
        <v/>
      </c>
    </row>
    <row r="104" customFormat="false" ht="15.75" hidden="false" customHeight="true" outlineLevel="0" collapsed="false">
      <c r="A104" s="31" t="s">
        <v>145</v>
      </c>
      <c r="B104" s="39" t="n">
        <v>-1</v>
      </c>
      <c r="C104" s="4"/>
      <c r="D104" s="8" t="str">
        <f aca="false">IF(C104="Sí",$D$77*B104,"")</f>
        <v/>
      </c>
    </row>
    <row r="105" customFormat="false" ht="15.75" hidden="false" customHeight="true" outlineLevel="0" collapsed="false">
      <c r="A105" s="31" t="s">
        <v>146</v>
      </c>
      <c r="B105" s="39" t="n">
        <v>-1</v>
      </c>
      <c r="C105" s="4"/>
      <c r="D105" s="8" t="str">
        <f aca="false">IF(C105="Sí",$D$77*B105,"")</f>
        <v/>
      </c>
    </row>
    <row r="106" customFormat="false" ht="15.75" hidden="false" customHeight="true" outlineLevel="0" collapsed="false">
      <c r="A106" s="34" t="s">
        <v>147</v>
      </c>
      <c r="B106" s="36"/>
      <c r="C106" s="36"/>
      <c r="D106" s="16" t="str">
        <f aca="false">IF(SUM(D90:D105)=0,"",SUM(D90:D105))</f>
        <v/>
      </c>
    </row>
    <row r="107" customFormat="false" ht="1.5" hidden="false" customHeight="true" outlineLevel="0" collapsed="false">
      <c r="A107" s="18"/>
      <c r="B107" s="18"/>
      <c r="C107" s="18"/>
      <c r="D107" s="18"/>
    </row>
    <row r="108" customFormat="false" ht="21.75" hidden="false" customHeight="true" outlineLevel="0" collapsed="false">
      <c r="A108" s="40" t="s">
        <v>148</v>
      </c>
      <c r="B108" s="41"/>
      <c r="C108" s="41"/>
      <c r="D108" s="42" t="e">
        <f aca="false">IF(MAX(0,ROUND($D$77+$D$106,2))=0,"",MAX(0,ROUND($D$77+$D$106,2)))</f>
        <v>#VALUE!</v>
      </c>
    </row>
    <row r="109" customFormat="false" ht="1.5" hidden="false" customHeight="true" outlineLevel="0" collapsed="false">
      <c r="A109" s="18"/>
      <c r="B109" s="18"/>
      <c r="C109" s="18"/>
      <c r="D109" s="18"/>
    </row>
    <row r="110" customFormat="false" ht="15.75" hidden="false" customHeight="true" outlineLevel="0" collapsed="false">
      <c r="A110" s="43" t="s">
        <v>149</v>
      </c>
      <c r="B110" s="18"/>
      <c r="C110" s="18"/>
      <c r="D110" s="18"/>
    </row>
    <row r="111" customFormat="false" ht="18" hidden="false" customHeight="true" outlineLevel="0" collapsed="false">
      <c r="A111" s="37"/>
      <c r="B111" s="37"/>
      <c r="C111" s="37"/>
      <c r="D111" s="37"/>
    </row>
    <row r="112" customFormat="false" ht="18" hidden="false" customHeight="true" outlineLevel="0" collapsed="false">
      <c r="A112" s="37"/>
      <c r="B112" s="37"/>
      <c r="C112" s="37"/>
      <c r="D112" s="37"/>
    </row>
    <row r="113" customFormat="false" ht="3" hidden="false" customHeight="true" outlineLevel="0" collapsed="false">
      <c r="A113" s="18"/>
      <c r="B113" s="18"/>
      <c r="C113" s="18"/>
      <c r="D113" s="18"/>
    </row>
    <row r="114" customFormat="false" ht="12" hidden="false" customHeight="true" outlineLevel="0" collapsed="false">
      <c r="A114" s="18"/>
      <c r="B114" s="18"/>
      <c r="C114" s="18"/>
      <c r="D114" s="18"/>
    </row>
    <row r="115" customFormat="false" ht="8.25" hidden="false" customHeight="true" outlineLevel="0" collapsed="false">
      <c r="A115" s="44" t="s">
        <v>150</v>
      </c>
      <c r="B115" s="18"/>
      <c r="C115" s="44" t="s">
        <v>150</v>
      </c>
      <c r="D115" s="18"/>
    </row>
    <row r="116" customFormat="false" ht="13.5" hidden="false" customHeight="true" outlineLevel="0" collapsed="false">
      <c r="A116" s="44" t="s">
        <v>151</v>
      </c>
      <c r="B116" s="18"/>
      <c r="C116" s="44" t="s">
        <v>152</v>
      </c>
      <c r="D116" s="18"/>
    </row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</sheetData>
  <mergeCells count="8">
    <mergeCell ref="A8:D8"/>
    <mergeCell ref="A10:B10"/>
    <mergeCell ref="C10:D10"/>
    <mergeCell ref="A11:B11"/>
    <mergeCell ref="C11:D11"/>
    <mergeCell ref="A12:B12"/>
    <mergeCell ref="A111:D111"/>
    <mergeCell ref="A112:D112"/>
  </mergeCells>
  <conditionalFormatting sqref="D15:D76">
    <cfRule type="cellIs" priority="2" operator="greaterThan" aboveAverage="0" equalAverage="0" bottom="0" percent="0" rank="0" text="" dxfId="10">
      <formula>B15</formula>
    </cfRule>
  </conditionalFormatting>
  <dataValidations count="1">
    <dataValidation allowBlank="true" errorStyle="stop" operator="equal" showDropDown="false" showErrorMessage="false" showInputMessage="false" sqref="B81:B86 C90:C105" type="list">
      <formula1>"Sí,No"</formula1>
      <formula2>0</formula2>
    </dataValidation>
  </dataValidations>
  <printOptions headings="false" gridLines="false" gridLinesSet="true" horizontalCentered="true" verticalCentered="false"/>
  <pageMargins left="0.39375" right="0.39375" top="0.196527777777778" bottom="0.196527777777778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86"/>
  <sheetViews>
    <sheetView showFormulas="false" showGridLines="false" showRowColHeaders="true" showZeros="true" rightToLeft="false" tabSelected="false" showOutlineSymbols="true" defaultGridColor="true" view="normal" topLeftCell="A43" colorId="64" zoomScale="100" zoomScaleNormal="100" zoomScalePageLayoutView="100" workbookViewId="0">
      <selection pane="topLeft" activeCell="D77" activeCellId="0" sqref="D77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87.43"/>
    <col collapsed="false" customWidth="true" hidden="false" outlineLevel="0" max="2" min="2" style="1" width="11"/>
    <col collapsed="false" customWidth="true" hidden="false" outlineLevel="0" max="3" min="3" style="1" width="34"/>
    <col collapsed="false" customWidth="true" hidden="false" outlineLevel="0" max="4" min="4" style="1" width="11"/>
    <col collapsed="false" customWidth="true" hidden="false" outlineLevel="0" max="26" min="5" style="1" width="8.71"/>
  </cols>
  <sheetData>
    <row r="1" customFormat="false" ht="13.8" hidden="false" customHeight="false" outlineLevel="0" collapsed="false">
      <c r="A1" s="17" t="s">
        <v>41</v>
      </c>
      <c r="B1" s="18"/>
      <c r="C1" s="18"/>
      <c r="D1" s="18"/>
    </row>
    <row r="2" customFormat="false" ht="13.8" hidden="false" customHeight="false" outlineLevel="0" collapsed="false">
      <c r="A2" s="17" t="s">
        <v>42</v>
      </c>
      <c r="B2" s="18"/>
      <c r="C2" s="18"/>
      <c r="D2" s="18"/>
    </row>
    <row r="3" customFormat="false" ht="13.8" hidden="false" customHeight="false" outlineLevel="0" collapsed="false">
      <c r="A3" s="17" t="s">
        <v>43</v>
      </c>
      <c r="B3" s="18"/>
      <c r="C3" s="18"/>
      <c r="D3" s="18"/>
    </row>
    <row r="4" customFormat="false" ht="13.8" hidden="false" customHeight="false" outlineLevel="0" collapsed="false">
      <c r="A4" s="17" t="s">
        <v>44</v>
      </c>
      <c r="B4" s="18"/>
      <c r="C4" s="18"/>
      <c r="D4" s="18"/>
    </row>
    <row r="5" customFormat="false" ht="13.8" hidden="false" customHeight="false" outlineLevel="0" collapsed="false">
      <c r="A5" s="17" t="s">
        <v>45</v>
      </c>
      <c r="B5" s="18"/>
      <c r="C5" s="18"/>
      <c r="D5" s="18"/>
    </row>
    <row r="6" customFormat="false" ht="13.8" hidden="false" customHeight="false" outlineLevel="0" collapsed="false">
      <c r="A6" s="17" t="s">
        <v>46</v>
      </c>
      <c r="B6" s="18"/>
      <c r="C6" s="18"/>
      <c r="D6" s="18"/>
    </row>
    <row r="7" customFormat="false" ht="13.8" hidden="false" customHeight="false" outlineLevel="0" collapsed="false">
      <c r="A7" s="17"/>
      <c r="B7" s="18"/>
      <c r="C7" s="18"/>
      <c r="D7" s="18"/>
    </row>
    <row r="8" customFormat="false" ht="13.8" hidden="false" customHeight="false" outlineLevel="0" collapsed="false">
      <c r="A8" s="19" t="s">
        <v>47</v>
      </c>
      <c r="B8" s="19"/>
      <c r="C8" s="19"/>
      <c r="D8" s="19"/>
    </row>
    <row r="9" customFormat="false" ht="13.8" hidden="false" customHeight="false" outlineLevel="0" collapsed="false">
      <c r="A9" s="20"/>
      <c r="B9" s="20"/>
      <c r="C9" s="20"/>
      <c r="D9" s="20"/>
    </row>
    <row r="10" customFormat="false" ht="13.8" hidden="false" customHeight="false" outlineLevel="0" collapsed="false">
      <c r="A10" s="21" t="s">
        <v>48</v>
      </c>
      <c r="B10" s="21"/>
      <c r="C10" s="22"/>
      <c r="D10" s="22"/>
    </row>
    <row r="11" customFormat="false" ht="13.8" hidden="false" customHeight="false" outlineLevel="0" collapsed="false">
      <c r="A11" s="21" t="s">
        <v>49</v>
      </c>
      <c r="B11" s="21"/>
      <c r="C11" s="23" t="str">
        <f aca="false">VLOOKUP(C12, Consolidado!$B$3:$C$26, 2, 0)</f>
        <v>MELISSA GRISSEL PEREZ RIVAS</v>
      </c>
      <c r="D11" s="23"/>
    </row>
    <row r="12" customFormat="false" ht="13.8" hidden="false" customHeight="false" outlineLevel="0" collapsed="false">
      <c r="A12" s="21" t="s">
        <v>50</v>
      </c>
      <c r="B12" s="21"/>
      <c r="C12" s="45" t="n">
        <v>202404528</v>
      </c>
      <c r="D12" s="23"/>
    </row>
    <row r="13" customFormat="false" ht="13.8" hidden="false" customHeight="false" outlineLevel="0" collapsed="false">
      <c r="A13" s="18"/>
      <c r="B13" s="18"/>
      <c r="C13" s="18"/>
      <c r="D13" s="18"/>
    </row>
    <row r="14" customFormat="false" ht="19.5" hidden="false" customHeight="true" outlineLevel="0" collapsed="false">
      <c r="A14" s="24" t="s">
        <v>51</v>
      </c>
      <c r="B14" s="24" t="s">
        <v>52</v>
      </c>
      <c r="C14" s="24" t="s">
        <v>53</v>
      </c>
      <c r="D14" s="24" t="s">
        <v>54</v>
      </c>
    </row>
    <row r="15" customFormat="false" ht="19.5" hidden="false" customHeight="true" outlineLevel="0" collapsed="false">
      <c r="A15" s="25" t="s">
        <v>55</v>
      </c>
      <c r="B15" s="26" t="n">
        <f aca="false">B16+B21+B25</f>
        <v>20</v>
      </c>
      <c r="C15" s="25"/>
      <c r="D15" s="27" t="n">
        <f aca="false">IF(D16+D21+D25=0,"",D16+D21+D25)</f>
        <v>16</v>
      </c>
    </row>
    <row r="16" customFormat="false" ht="18" hidden="false" customHeight="true" outlineLevel="0" collapsed="false">
      <c r="A16" s="28" t="s">
        <v>56</v>
      </c>
      <c r="B16" s="29" t="n">
        <f aca="false">SUM(B17:B20)</f>
        <v>8</v>
      </c>
      <c r="C16" s="28"/>
      <c r="D16" s="30" t="n">
        <f aca="false">SUM(D17:D20)</f>
        <v>6</v>
      </c>
    </row>
    <row r="17" customFormat="false" ht="15" hidden="false" customHeight="true" outlineLevel="0" collapsed="false">
      <c r="A17" s="31" t="s">
        <v>57</v>
      </c>
      <c r="B17" s="32" t="n">
        <v>2</v>
      </c>
      <c r="C17" s="31"/>
      <c r="D17" s="33" t="n">
        <v>2</v>
      </c>
    </row>
    <row r="18" customFormat="false" ht="15" hidden="false" customHeight="true" outlineLevel="0" collapsed="false">
      <c r="A18" s="31" t="s">
        <v>58</v>
      </c>
      <c r="B18" s="32" t="n">
        <v>2</v>
      </c>
      <c r="C18" s="31"/>
      <c r="D18" s="33" t="n">
        <v>2</v>
      </c>
    </row>
    <row r="19" customFormat="false" ht="15" hidden="false" customHeight="true" outlineLevel="0" collapsed="false">
      <c r="A19" s="31" t="s">
        <v>59</v>
      </c>
      <c r="B19" s="32" t="n">
        <v>2</v>
      </c>
      <c r="C19" s="31"/>
      <c r="D19" s="33" t="n">
        <v>2</v>
      </c>
    </row>
    <row r="20" customFormat="false" ht="15" hidden="false" customHeight="true" outlineLevel="0" collapsed="false">
      <c r="A20" s="31" t="s">
        <v>60</v>
      </c>
      <c r="B20" s="32" t="n">
        <v>2</v>
      </c>
      <c r="C20" s="31"/>
      <c r="D20" s="33" t="n">
        <v>0</v>
      </c>
    </row>
    <row r="21" customFormat="false" ht="18" hidden="false" customHeight="true" outlineLevel="0" collapsed="false">
      <c r="A21" s="28" t="s">
        <v>61</v>
      </c>
      <c r="B21" s="29" t="n">
        <f aca="false">SUM(B22:B24)</f>
        <v>6</v>
      </c>
      <c r="C21" s="28"/>
      <c r="D21" s="30" t="n">
        <f aca="false">SUM(D22:D24)</f>
        <v>6</v>
      </c>
    </row>
    <row r="22" customFormat="false" ht="15" hidden="false" customHeight="true" outlineLevel="0" collapsed="false">
      <c r="A22" s="31" t="s">
        <v>62</v>
      </c>
      <c r="B22" s="32" t="n">
        <v>2</v>
      </c>
      <c r="C22" s="31"/>
      <c r="D22" s="33" t="n">
        <v>2</v>
      </c>
    </row>
    <row r="23" customFormat="false" ht="15" hidden="false" customHeight="true" outlineLevel="0" collapsed="false">
      <c r="A23" s="31" t="s">
        <v>63</v>
      </c>
      <c r="B23" s="32" t="n">
        <v>2</v>
      </c>
      <c r="C23" s="31"/>
      <c r="D23" s="33" t="n">
        <v>2</v>
      </c>
    </row>
    <row r="24" customFormat="false" ht="15" hidden="false" customHeight="true" outlineLevel="0" collapsed="false">
      <c r="A24" s="31" t="s">
        <v>64</v>
      </c>
      <c r="B24" s="32" t="n">
        <v>2</v>
      </c>
      <c r="C24" s="31"/>
      <c r="D24" s="33" t="n">
        <v>2</v>
      </c>
    </row>
    <row r="25" customFormat="false" ht="18" hidden="false" customHeight="true" outlineLevel="0" collapsed="false">
      <c r="A25" s="28" t="s">
        <v>65</v>
      </c>
      <c r="B25" s="29" t="n">
        <f aca="false">SUM(B26:B28)</f>
        <v>6</v>
      </c>
      <c r="C25" s="28"/>
      <c r="D25" s="30" t="n">
        <f aca="false">SUM(D26:D28)</f>
        <v>4</v>
      </c>
    </row>
    <row r="26" customFormat="false" ht="16.5" hidden="false" customHeight="true" outlineLevel="0" collapsed="false">
      <c r="A26" s="31" t="s">
        <v>66</v>
      </c>
      <c r="B26" s="32" t="n">
        <v>2</v>
      </c>
      <c r="C26" s="31"/>
      <c r="D26" s="33" t="n">
        <v>2</v>
      </c>
    </row>
    <row r="27" customFormat="false" ht="15" hidden="false" customHeight="true" outlineLevel="0" collapsed="false">
      <c r="A27" s="31" t="s">
        <v>67</v>
      </c>
      <c r="B27" s="32" t="n">
        <v>2</v>
      </c>
      <c r="C27" s="31"/>
      <c r="D27" s="33" t="n">
        <v>0</v>
      </c>
    </row>
    <row r="28" customFormat="false" ht="15" hidden="false" customHeight="true" outlineLevel="0" collapsed="false">
      <c r="A28" s="31" t="s">
        <v>68</v>
      </c>
      <c r="B28" s="32" t="n">
        <v>2</v>
      </c>
      <c r="C28" s="31"/>
      <c r="D28" s="33" t="n">
        <v>2</v>
      </c>
    </row>
    <row r="29" customFormat="false" ht="19.5" hidden="false" customHeight="true" outlineLevel="0" collapsed="false">
      <c r="A29" s="25" t="s">
        <v>69</v>
      </c>
      <c r="B29" s="26" t="n">
        <f aca="false">B30+B34+B40+B44+B49+B53+B58+B63</f>
        <v>55</v>
      </c>
      <c r="C29" s="25"/>
      <c r="D29" s="27" t="n">
        <f aca="false">IF(D30+D34+D40+D44+D49+D53+D58+D63=0,"",D30+D34+D40+D44+D49+D53+D58+D63)</f>
        <v>40.5</v>
      </c>
    </row>
    <row r="30" customFormat="false" ht="18" hidden="false" customHeight="true" outlineLevel="0" collapsed="false">
      <c r="A30" s="28" t="s">
        <v>70</v>
      </c>
      <c r="B30" s="29" t="n">
        <f aca="false">SUM(B31:B33)</f>
        <v>5</v>
      </c>
      <c r="C30" s="28"/>
      <c r="D30" s="30" t="n">
        <f aca="false">SUM(D31:D33)</f>
        <v>2.5</v>
      </c>
    </row>
    <row r="31" customFormat="false" ht="15" hidden="false" customHeight="true" outlineLevel="0" collapsed="false">
      <c r="A31" s="31" t="s">
        <v>71</v>
      </c>
      <c r="B31" s="32" t="n">
        <v>2</v>
      </c>
      <c r="C31" s="31"/>
      <c r="D31" s="33" t="n">
        <v>2</v>
      </c>
    </row>
    <row r="32" customFormat="false" ht="15" hidden="false" customHeight="true" outlineLevel="0" collapsed="false">
      <c r="A32" s="31" t="s">
        <v>72</v>
      </c>
      <c r="B32" s="32" t="n">
        <v>2</v>
      </c>
      <c r="C32" s="31"/>
      <c r="D32" s="33" t="n">
        <v>0</v>
      </c>
    </row>
    <row r="33" customFormat="false" ht="15" hidden="false" customHeight="true" outlineLevel="0" collapsed="false">
      <c r="A33" s="31" t="s">
        <v>73</v>
      </c>
      <c r="B33" s="32" t="n">
        <v>1</v>
      </c>
      <c r="C33" s="31"/>
      <c r="D33" s="33" t="n">
        <v>0.5</v>
      </c>
    </row>
    <row r="34" customFormat="false" ht="18" hidden="false" customHeight="true" outlineLevel="0" collapsed="false">
      <c r="A34" s="28" t="s">
        <v>74</v>
      </c>
      <c r="B34" s="29" t="n">
        <f aca="false">SUM(B35:B39)</f>
        <v>10</v>
      </c>
      <c r="C34" s="28"/>
      <c r="D34" s="30" t="n">
        <f aca="false">SUM(D35:D39)</f>
        <v>4</v>
      </c>
    </row>
    <row r="35" customFormat="false" ht="15" hidden="false" customHeight="true" outlineLevel="0" collapsed="false">
      <c r="A35" s="31" t="s">
        <v>75</v>
      </c>
      <c r="B35" s="32" t="n">
        <v>3</v>
      </c>
      <c r="C35" s="31"/>
      <c r="D35" s="33" t="n">
        <v>3</v>
      </c>
    </row>
    <row r="36" customFormat="false" ht="15" hidden="false" customHeight="true" outlineLevel="0" collapsed="false">
      <c r="A36" s="31" t="s">
        <v>76</v>
      </c>
      <c r="B36" s="32" t="n">
        <v>2</v>
      </c>
      <c r="C36" s="31"/>
      <c r="D36" s="33" t="n">
        <v>0</v>
      </c>
    </row>
    <row r="37" customFormat="false" ht="15" hidden="false" customHeight="true" outlineLevel="0" collapsed="false">
      <c r="A37" s="31" t="s">
        <v>77</v>
      </c>
      <c r="B37" s="32" t="n">
        <v>2</v>
      </c>
      <c r="C37" s="31"/>
      <c r="D37" s="33" t="n">
        <v>0</v>
      </c>
    </row>
    <row r="38" customFormat="false" ht="15" hidden="false" customHeight="true" outlineLevel="0" collapsed="false">
      <c r="A38" s="31" t="s">
        <v>78</v>
      </c>
      <c r="B38" s="32" t="n">
        <v>1</v>
      </c>
      <c r="C38" s="31"/>
      <c r="D38" s="33" t="n">
        <v>1</v>
      </c>
    </row>
    <row r="39" customFormat="false" ht="15" hidden="false" customHeight="true" outlineLevel="0" collapsed="false">
      <c r="A39" s="31" t="s">
        <v>79</v>
      </c>
      <c r="B39" s="32" t="n">
        <v>2</v>
      </c>
      <c r="C39" s="31"/>
      <c r="D39" s="33" t="n">
        <v>0</v>
      </c>
    </row>
    <row r="40" customFormat="false" ht="18" hidden="false" customHeight="true" outlineLevel="0" collapsed="false">
      <c r="A40" s="28" t="s">
        <v>80</v>
      </c>
      <c r="B40" s="29" t="n">
        <f aca="false">SUM(B41:B43)</f>
        <v>6</v>
      </c>
      <c r="C40" s="28"/>
      <c r="D40" s="30" t="n">
        <f aca="false">SUM(D41:D43)</f>
        <v>3</v>
      </c>
    </row>
    <row r="41" customFormat="false" ht="15" hidden="false" customHeight="true" outlineLevel="0" collapsed="false">
      <c r="A41" s="31" t="s">
        <v>81</v>
      </c>
      <c r="B41" s="32" t="n">
        <v>2</v>
      </c>
      <c r="C41" s="31"/>
      <c r="D41" s="33" t="n">
        <v>2</v>
      </c>
    </row>
    <row r="42" customFormat="false" ht="15" hidden="false" customHeight="true" outlineLevel="0" collapsed="false">
      <c r="A42" s="31" t="s">
        <v>82</v>
      </c>
      <c r="B42" s="32" t="n">
        <v>2</v>
      </c>
      <c r="C42" s="31"/>
      <c r="D42" s="33" t="n">
        <v>0</v>
      </c>
    </row>
    <row r="43" customFormat="false" ht="15" hidden="false" customHeight="true" outlineLevel="0" collapsed="false">
      <c r="A43" s="31" t="s">
        <v>83</v>
      </c>
      <c r="B43" s="32" t="n">
        <v>2</v>
      </c>
      <c r="C43" s="31"/>
      <c r="D43" s="33" t="n">
        <v>1</v>
      </c>
    </row>
    <row r="44" customFormat="false" ht="18" hidden="false" customHeight="true" outlineLevel="0" collapsed="false">
      <c r="A44" s="28" t="s">
        <v>84</v>
      </c>
      <c r="B44" s="29" t="n">
        <f aca="false">SUM(B45:B48)</f>
        <v>8</v>
      </c>
      <c r="C44" s="28"/>
      <c r="D44" s="30" t="n">
        <f aca="false">SUM(D45:D48)</f>
        <v>8</v>
      </c>
    </row>
    <row r="45" customFormat="false" ht="15" hidden="false" customHeight="true" outlineLevel="0" collapsed="false">
      <c r="A45" s="31" t="s">
        <v>85</v>
      </c>
      <c r="B45" s="32" t="n">
        <v>2</v>
      </c>
      <c r="C45" s="31"/>
      <c r="D45" s="33" t="n">
        <v>2</v>
      </c>
    </row>
    <row r="46" customFormat="false" ht="15" hidden="false" customHeight="true" outlineLevel="0" collapsed="false">
      <c r="A46" s="31" t="s">
        <v>86</v>
      </c>
      <c r="B46" s="32" t="n">
        <v>3</v>
      </c>
      <c r="C46" s="31"/>
      <c r="D46" s="33" t="n">
        <v>3</v>
      </c>
    </row>
    <row r="47" customFormat="false" ht="15" hidden="false" customHeight="true" outlineLevel="0" collapsed="false">
      <c r="A47" s="31" t="s">
        <v>87</v>
      </c>
      <c r="B47" s="32" t="n">
        <v>2</v>
      </c>
      <c r="C47" s="31"/>
      <c r="D47" s="33" t="n">
        <v>2</v>
      </c>
    </row>
    <row r="48" customFormat="false" ht="15" hidden="false" customHeight="true" outlineLevel="0" collapsed="false">
      <c r="A48" s="31" t="s">
        <v>88</v>
      </c>
      <c r="B48" s="32" t="n">
        <v>1</v>
      </c>
      <c r="C48" s="31"/>
      <c r="D48" s="33" t="n">
        <v>1</v>
      </c>
    </row>
    <row r="49" customFormat="false" ht="18" hidden="false" customHeight="true" outlineLevel="0" collapsed="false">
      <c r="A49" s="28" t="s">
        <v>89</v>
      </c>
      <c r="B49" s="29" t="n">
        <f aca="false">SUM(B50:B52)</f>
        <v>6</v>
      </c>
      <c r="C49" s="28"/>
      <c r="D49" s="30" t="n">
        <f aca="false">SUM(D50:D52)</f>
        <v>4</v>
      </c>
    </row>
    <row r="50" customFormat="false" ht="15" hidden="false" customHeight="true" outlineLevel="0" collapsed="false">
      <c r="A50" s="31" t="s">
        <v>90</v>
      </c>
      <c r="B50" s="32" t="n">
        <v>2</v>
      </c>
      <c r="C50" s="31"/>
      <c r="D50" s="33" t="n">
        <v>2</v>
      </c>
    </row>
    <row r="51" customFormat="false" ht="15" hidden="false" customHeight="true" outlineLevel="0" collapsed="false">
      <c r="A51" s="31" t="s">
        <v>91</v>
      </c>
      <c r="B51" s="32" t="n">
        <v>2</v>
      </c>
      <c r="C51" s="31"/>
      <c r="D51" s="33" t="n">
        <v>0</v>
      </c>
    </row>
    <row r="52" customFormat="false" ht="15" hidden="false" customHeight="true" outlineLevel="0" collapsed="false">
      <c r="A52" s="31" t="s">
        <v>92</v>
      </c>
      <c r="B52" s="32" t="n">
        <v>2</v>
      </c>
      <c r="C52" s="31"/>
      <c r="D52" s="33" t="n">
        <v>2</v>
      </c>
    </row>
    <row r="53" customFormat="false" ht="18" hidden="false" customHeight="true" outlineLevel="0" collapsed="false">
      <c r="A53" s="28" t="s">
        <v>93</v>
      </c>
      <c r="B53" s="29" t="n">
        <f aca="false">SUM(B54:B57)</f>
        <v>8</v>
      </c>
      <c r="C53" s="28"/>
      <c r="D53" s="30" t="n">
        <f aca="false">SUM(D54:D57)</f>
        <v>7.5</v>
      </c>
    </row>
    <row r="54" customFormat="false" ht="15" hidden="false" customHeight="true" outlineLevel="0" collapsed="false">
      <c r="A54" s="31" t="s">
        <v>94</v>
      </c>
      <c r="B54" s="32" t="n">
        <v>2</v>
      </c>
      <c r="C54" s="31"/>
      <c r="D54" s="33" t="n">
        <v>2</v>
      </c>
    </row>
    <row r="55" customFormat="false" ht="15" hidden="false" customHeight="true" outlineLevel="0" collapsed="false">
      <c r="A55" s="31" t="s">
        <v>95</v>
      </c>
      <c r="B55" s="32" t="n">
        <v>3</v>
      </c>
      <c r="C55" s="31"/>
      <c r="D55" s="33" t="n">
        <v>3</v>
      </c>
    </row>
    <row r="56" customFormat="false" ht="15" hidden="false" customHeight="true" outlineLevel="0" collapsed="false">
      <c r="A56" s="31" t="s">
        <v>96</v>
      </c>
      <c r="B56" s="32" t="n">
        <v>2</v>
      </c>
      <c r="C56" s="31"/>
      <c r="D56" s="33" t="n">
        <v>2</v>
      </c>
    </row>
    <row r="57" customFormat="false" ht="15" hidden="false" customHeight="true" outlineLevel="0" collapsed="false">
      <c r="A57" s="31" t="s">
        <v>97</v>
      </c>
      <c r="B57" s="32" t="n">
        <v>1</v>
      </c>
      <c r="C57" s="31"/>
      <c r="D57" s="33" t="n">
        <v>0.5</v>
      </c>
    </row>
    <row r="58" customFormat="false" ht="18" hidden="false" customHeight="true" outlineLevel="0" collapsed="false">
      <c r="A58" s="28" t="s">
        <v>98</v>
      </c>
      <c r="B58" s="29" t="n">
        <f aca="false">SUM(B59:B62)</f>
        <v>6</v>
      </c>
      <c r="C58" s="28"/>
      <c r="D58" s="30" t="n">
        <f aca="false">SUM(D59:D62)</f>
        <v>5.5</v>
      </c>
    </row>
    <row r="59" customFormat="false" ht="15" hidden="false" customHeight="true" outlineLevel="0" collapsed="false">
      <c r="A59" s="31" t="s">
        <v>99</v>
      </c>
      <c r="B59" s="32" t="n">
        <v>2</v>
      </c>
      <c r="C59" s="31"/>
      <c r="D59" s="33" t="n">
        <v>2</v>
      </c>
    </row>
    <row r="60" customFormat="false" ht="15" hidden="false" customHeight="true" outlineLevel="0" collapsed="false">
      <c r="A60" s="31" t="s">
        <v>100</v>
      </c>
      <c r="B60" s="32" t="n">
        <v>2</v>
      </c>
      <c r="C60" s="31"/>
      <c r="D60" s="33" t="n">
        <v>2</v>
      </c>
    </row>
    <row r="61" customFormat="false" ht="15" hidden="false" customHeight="true" outlineLevel="0" collapsed="false">
      <c r="A61" s="31" t="s">
        <v>101</v>
      </c>
      <c r="B61" s="32" t="n">
        <v>1</v>
      </c>
      <c r="C61" s="31"/>
      <c r="D61" s="33" t="n">
        <v>0.5</v>
      </c>
    </row>
    <row r="62" customFormat="false" ht="15" hidden="false" customHeight="true" outlineLevel="0" collapsed="false">
      <c r="A62" s="31" t="s">
        <v>102</v>
      </c>
      <c r="B62" s="32" t="n">
        <v>1</v>
      </c>
      <c r="C62" s="31"/>
      <c r="D62" s="33" t="n">
        <v>1</v>
      </c>
    </row>
    <row r="63" customFormat="false" ht="15" hidden="false" customHeight="true" outlineLevel="0" collapsed="false">
      <c r="A63" s="28" t="s">
        <v>103</v>
      </c>
      <c r="B63" s="29" t="n">
        <f aca="false">SUM(B64:B65)</f>
        <v>6</v>
      </c>
      <c r="C63" s="28"/>
      <c r="D63" s="30" t="n">
        <f aca="false">SUM(D64:D65)</f>
        <v>6</v>
      </c>
    </row>
    <row r="64" customFormat="false" ht="15" hidden="false" customHeight="true" outlineLevel="0" collapsed="false">
      <c r="A64" s="31" t="s">
        <v>104</v>
      </c>
      <c r="B64" s="32" t="n">
        <v>3</v>
      </c>
      <c r="C64" s="31"/>
      <c r="D64" s="33" t="n">
        <v>3</v>
      </c>
    </row>
    <row r="65" customFormat="false" ht="15" hidden="false" customHeight="true" outlineLevel="0" collapsed="false">
      <c r="A65" s="31" t="s">
        <v>105</v>
      </c>
      <c r="B65" s="32" t="n">
        <v>3</v>
      </c>
      <c r="C65" s="31"/>
      <c r="D65" s="33" t="n">
        <v>3</v>
      </c>
    </row>
    <row r="66" customFormat="false" ht="19.5" hidden="false" customHeight="true" outlineLevel="0" collapsed="false">
      <c r="A66" s="25" t="s">
        <v>106</v>
      </c>
      <c r="B66" s="26" t="n">
        <f aca="false">B67+B73</f>
        <v>25</v>
      </c>
      <c r="C66" s="25"/>
      <c r="D66" s="27" t="n">
        <f aca="false">IF(D67+D73=0,"",D67+D73)</f>
        <v>2</v>
      </c>
    </row>
    <row r="67" customFormat="false" ht="18" hidden="false" customHeight="true" outlineLevel="0" collapsed="false">
      <c r="A67" s="28" t="s">
        <v>107</v>
      </c>
      <c r="B67" s="29" t="n">
        <f aca="false">SUM(B68:B72)</f>
        <v>10</v>
      </c>
      <c r="C67" s="28"/>
      <c r="D67" s="30" t="n">
        <f aca="false">IF(SUM(D68:D72)=0,"",SUM(D68:D72))</f>
        <v>2</v>
      </c>
    </row>
    <row r="68" customFormat="false" ht="15" hidden="false" customHeight="true" outlineLevel="0" collapsed="false">
      <c r="A68" s="31" t="s">
        <v>108</v>
      </c>
      <c r="B68" s="32" t="n">
        <v>2</v>
      </c>
      <c r="C68" s="31"/>
      <c r="D68" s="33" t="n">
        <v>0</v>
      </c>
    </row>
    <row r="69" customFormat="false" ht="15" hidden="false" customHeight="true" outlineLevel="0" collapsed="false">
      <c r="A69" s="31" t="s">
        <v>109</v>
      </c>
      <c r="B69" s="32" t="n">
        <v>2</v>
      </c>
      <c r="C69" s="31"/>
      <c r="D69" s="33" t="n">
        <v>2</v>
      </c>
    </row>
    <row r="70" customFormat="false" ht="15" hidden="false" customHeight="true" outlineLevel="0" collapsed="false">
      <c r="A70" s="31" t="s">
        <v>110</v>
      </c>
      <c r="B70" s="32" t="n">
        <v>2</v>
      </c>
      <c r="C70" s="31"/>
      <c r="D70" s="33" t="n">
        <v>0</v>
      </c>
    </row>
    <row r="71" customFormat="false" ht="15" hidden="false" customHeight="true" outlineLevel="0" collapsed="false">
      <c r="A71" s="31" t="s">
        <v>111</v>
      </c>
      <c r="B71" s="32" t="n">
        <v>2</v>
      </c>
      <c r="C71" s="31"/>
      <c r="D71" s="33" t="n">
        <v>0</v>
      </c>
    </row>
    <row r="72" customFormat="false" ht="15" hidden="false" customHeight="true" outlineLevel="0" collapsed="false">
      <c r="A72" s="31" t="s">
        <v>112</v>
      </c>
      <c r="B72" s="32" t="n">
        <v>2</v>
      </c>
      <c r="C72" s="31"/>
      <c r="D72" s="33" t="n">
        <v>0</v>
      </c>
    </row>
    <row r="73" customFormat="false" ht="18" hidden="false" customHeight="true" outlineLevel="0" collapsed="false">
      <c r="A73" s="28" t="s">
        <v>113</v>
      </c>
      <c r="B73" s="29" t="n">
        <f aca="false">SUM(B74:B76)</f>
        <v>15</v>
      </c>
      <c r="C73" s="28"/>
      <c r="D73" s="30" t="n">
        <f aca="false">SUM(D74:D76)</f>
        <v>0</v>
      </c>
    </row>
    <row r="74" customFormat="false" ht="15" hidden="false" customHeight="true" outlineLevel="0" collapsed="false">
      <c r="A74" s="31" t="s">
        <v>114</v>
      </c>
      <c r="B74" s="32" t="n">
        <v>5</v>
      </c>
      <c r="C74" s="31"/>
      <c r="D74" s="33" t="n">
        <v>0</v>
      </c>
    </row>
    <row r="75" customFormat="false" ht="15" hidden="false" customHeight="true" outlineLevel="0" collapsed="false">
      <c r="A75" s="31" t="s">
        <v>115</v>
      </c>
      <c r="B75" s="32" t="n">
        <v>5</v>
      </c>
      <c r="C75" s="31"/>
      <c r="D75" s="33" t="n">
        <v>0</v>
      </c>
    </row>
    <row r="76" customFormat="false" ht="15" hidden="false" customHeight="true" outlineLevel="0" collapsed="false">
      <c r="A76" s="31" t="s">
        <v>116</v>
      </c>
      <c r="B76" s="32" t="n">
        <v>5</v>
      </c>
      <c r="C76" s="31"/>
      <c r="D76" s="33" t="n">
        <v>0</v>
      </c>
    </row>
    <row r="77" customFormat="false" ht="19.5" hidden="false" customHeight="true" outlineLevel="0" collapsed="false">
      <c r="A77" s="34" t="s">
        <v>117</v>
      </c>
      <c r="B77" s="35" t="n">
        <f aca="false">B15+B29+B66</f>
        <v>100</v>
      </c>
      <c r="C77" s="36"/>
      <c r="D77" s="16" t="n">
        <f aca="false">IF(D15+D29+D66=0,"",D15+D29+D66)</f>
        <v>58.5</v>
      </c>
    </row>
    <row r="78" customFormat="false" ht="1.5" hidden="false" customHeight="true" outlineLevel="0" collapsed="false">
      <c r="A78" s="18"/>
      <c r="B78" s="18"/>
      <c r="C78" s="18"/>
      <c r="D78" s="18"/>
    </row>
    <row r="79" customFormat="false" ht="15.75" hidden="false" customHeight="true" outlineLevel="0" collapsed="false">
      <c r="A79" s="17" t="s">
        <v>118</v>
      </c>
      <c r="B79" s="18"/>
      <c r="C79" s="18"/>
      <c r="D79" s="18"/>
    </row>
    <row r="80" customFormat="false" ht="15.75" hidden="false" customHeight="true" outlineLevel="0" collapsed="false">
      <c r="A80" s="24" t="s">
        <v>119</v>
      </c>
      <c r="B80" s="24" t="s">
        <v>120</v>
      </c>
      <c r="C80" s="24" t="s">
        <v>53</v>
      </c>
      <c r="D80" s="24"/>
    </row>
    <row r="81" customFormat="false" ht="15.75" hidden="false" customHeight="true" outlineLevel="0" collapsed="false">
      <c r="A81" s="31" t="s">
        <v>121</v>
      </c>
      <c r="B81" s="4"/>
      <c r="C81" s="37"/>
      <c r="D81" s="38"/>
    </row>
    <row r="82" customFormat="false" ht="15.75" hidden="false" customHeight="true" outlineLevel="0" collapsed="false">
      <c r="A82" s="31" t="s">
        <v>122</v>
      </c>
      <c r="B82" s="4"/>
      <c r="C82" s="37"/>
      <c r="D82" s="38"/>
    </row>
    <row r="83" customFormat="false" ht="15.75" hidden="false" customHeight="true" outlineLevel="0" collapsed="false">
      <c r="A83" s="31" t="s">
        <v>123</v>
      </c>
      <c r="B83" s="4"/>
      <c r="C83" s="37"/>
      <c r="D83" s="38"/>
    </row>
    <row r="84" customFormat="false" ht="15.75" hidden="false" customHeight="true" outlineLevel="0" collapsed="false">
      <c r="A84" s="31" t="s">
        <v>124</v>
      </c>
      <c r="B84" s="4"/>
      <c r="C84" s="37"/>
      <c r="D84" s="38"/>
    </row>
    <row r="85" customFormat="false" ht="15.75" hidden="false" customHeight="true" outlineLevel="0" collapsed="false">
      <c r="A85" s="31" t="s">
        <v>125</v>
      </c>
      <c r="B85" s="4"/>
      <c r="C85" s="37"/>
      <c r="D85" s="38"/>
    </row>
    <row r="86" customFormat="false" ht="15.75" hidden="false" customHeight="true" outlineLevel="0" collapsed="false">
      <c r="A86" s="31" t="s">
        <v>126</v>
      </c>
      <c r="B86" s="4"/>
      <c r="C86" s="37"/>
      <c r="D86" s="38"/>
    </row>
    <row r="87" customFormat="false" ht="1.5" hidden="false" customHeight="true" outlineLevel="0" collapsed="false">
      <c r="A87" s="18"/>
      <c r="B87" s="18"/>
      <c r="C87" s="18"/>
      <c r="D87" s="18"/>
    </row>
    <row r="88" customFormat="false" ht="15.75" hidden="false" customHeight="true" outlineLevel="0" collapsed="false">
      <c r="A88" s="17" t="s">
        <v>127</v>
      </c>
      <c r="B88" s="18"/>
      <c r="C88" s="18"/>
      <c r="D88" s="18"/>
    </row>
    <row r="89" customFormat="false" ht="15.75" hidden="false" customHeight="true" outlineLevel="0" collapsed="false">
      <c r="A89" s="24" t="s">
        <v>128</v>
      </c>
      <c r="B89" s="24" t="s">
        <v>8</v>
      </c>
      <c r="C89" s="24" t="s">
        <v>129</v>
      </c>
      <c r="D89" s="24" t="s">
        <v>130</v>
      </c>
    </row>
    <row r="90" customFormat="false" ht="15.75" hidden="false" customHeight="true" outlineLevel="0" collapsed="false">
      <c r="A90" s="31" t="s">
        <v>131</v>
      </c>
      <c r="B90" s="39" t="n">
        <v>-0.3</v>
      </c>
      <c r="C90" s="4"/>
      <c r="D90" s="8" t="str">
        <f aca="false">IF(C90="Sí",$D$77*B90,"")</f>
        <v/>
      </c>
    </row>
    <row r="91" customFormat="false" ht="15.75" hidden="false" customHeight="true" outlineLevel="0" collapsed="false">
      <c r="A91" s="31" t="s">
        <v>132</v>
      </c>
      <c r="B91" s="39" t="n">
        <v>-0.2</v>
      </c>
      <c r="C91" s="4"/>
      <c r="D91" s="8" t="str">
        <f aca="false">IF(C91="Sí",$D$77*B91,"")</f>
        <v/>
      </c>
    </row>
    <row r="92" customFormat="false" ht="15.75" hidden="false" customHeight="true" outlineLevel="0" collapsed="false">
      <c r="A92" s="31" t="s">
        <v>133</v>
      </c>
      <c r="B92" s="39" t="n">
        <v>-1</v>
      </c>
      <c r="C92" s="4"/>
      <c r="D92" s="8" t="str">
        <f aca="false">IF(C92="Sí",$D$77*B92,"")</f>
        <v/>
      </c>
    </row>
    <row r="93" customFormat="false" ht="15.75" hidden="false" customHeight="true" outlineLevel="0" collapsed="false">
      <c r="A93" s="31" t="s">
        <v>134</v>
      </c>
      <c r="B93" s="39" t="n">
        <v>-0.2</v>
      </c>
      <c r="C93" s="4"/>
      <c r="D93" s="8" t="str">
        <f aca="false">IF(C93="Sí",$D$77*B93,"")</f>
        <v/>
      </c>
    </row>
    <row r="94" customFormat="false" ht="15.75" hidden="false" customHeight="true" outlineLevel="0" collapsed="false">
      <c r="A94" s="31" t="s">
        <v>135</v>
      </c>
      <c r="B94" s="39" t="n">
        <v>-1</v>
      </c>
      <c r="C94" s="4"/>
      <c r="D94" s="8" t="str">
        <f aca="false">IF(C94="Sí",$D$77*B94,"")</f>
        <v/>
      </c>
    </row>
    <row r="95" customFormat="false" ht="15.75" hidden="false" customHeight="true" outlineLevel="0" collapsed="false">
      <c r="A95" s="31" t="s">
        <v>136</v>
      </c>
      <c r="B95" s="39" t="n">
        <v>-0.75</v>
      </c>
      <c r="C95" s="4"/>
      <c r="D95" s="8" t="str">
        <f aca="false">IF(C95="Sí",$D$77*B95,"")</f>
        <v/>
      </c>
    </row>
    <row r="96" customFormat="false" ht="15.75" hidden="false" customHeight="true" outlineLevel="0" collapsed="false">
      <c r="A96" s="31" t="s">
        <v>137</v>
      </c>
      <c r="B96" s="39" t="n">
        <v>-0.75</v>
      </c>
      <c r="C96" s="4"/>
      <c r="D96" s="8" t="str">
        <f aca="false">IF(C96="Sí",$D$77*B96,"")</f>
        <v/>
      </c>
    </row>
    <row r="97" customFormat="false" ht="15.75" hidden="false" customHeight="true" outlineLevel="0" collapsed="false">
      <c r="A97" s="31" t="s">
        <v>138</v>
      </c>
      <c r="B97" s="39" t="n">
        <v>-1</v>
      </c>
      <c r="C97" s="4"/>
      <c r="D97" s="8" t="str">
        <f aca="false">IF(C97="Sí",$D$77*B97,"")</f>
        <v/>
      </c>
    </row>
    <row r="98" customFormat="false" ht="15.75" hidden="false" customHeight="true" outlineLevel="0" collapsed="false">
      <c r="A98" s="31" t="s">
        <v>139</v>
      </c>
      <c r="B98" s="39" t="n">
        <v>-0.5</v>
      </c>
      <c r="C98" s="4"/>
      <c r="D98" s="8" t="str">
        <f aca="false">IF(C98="Sí",$D$77*B98,"")</f>
        <v/>
      </c>
    </row>
    <row r="99" customFormat="false" ht="15.75" hidden="false" customHeight="true" outlineLevel="0" collapsed="false">
      <c r="A99" s="31" t="s">
        <v>140</v>
      </c>
      <c r="B99" s="39" t="n">
        <v>-1</v>
      </c>
      <c r="C99" s="4"/>
      <c r="D99" s="8" t="str">
        <f aca="false">IF(C99="Sí",$D$77*B99,"")</f>
        <v/>
      </c>
    </row>
    <row r="100" customFormat="false" ht="15.75" hidden="false" customHeight="true" outlineLevel="0" collapsed="false">
      <c r="A100" s="31" t="s">
        <v>141</v>
      </c>
      <c r="B100" s="39" t="n">
        <v>-1</v>
      </c>
      <c r="C100" s="4"/>
      <c r="D100" s="8" t="str">
        <f aca="false">IF(C100="Sí",$D$77*B100,"")</f>
        <v/>
      </c>
    </row>
    <row r="101" customFormat="false" ht="15.75" hidden="false" customHeight="true" outlineLevel="0" collapsed="false">
      <c r="A101" s="31" t="s">
        <v>142</v>
      </c>
      <c r="B101" s="39" t="n">
        <v>-0.25</v>
      </c>
      <c r="C101" s="4"/>
      <c r="D101" s="8" t="str">
        <f aca="false">IF(C101="Sí",$D$77*B101,"")</f>
        <v/>
      </c>
    </row>
    <row r="102" customFormat="false" ht="15.75" hidden="false" customHeight="true" outlineLevel="0" collapsed="false">
      <c r="A102" s="31" t="s">
        <v>143</v>
      </c>
      <c r="B102" s="39" t="n">
        <v>-1</v>
      </c>
      <c r="C102" s="4"/>
      <c r="D102" s="8" t="str">
        <f aca="false">IF(C102="Sí",$D$77*B102,"")</f>
        <v/>
      </c>
    </row>
    <row r="103" customFormat="false" ht="15.75" hidden="false" customHeight="true" outlineLevel="0" collapsed="false">
      <c r="A103" s="31" t="s">
        <v>144</v>
      </c>
      <c r="B103" s="39" t="n">
        <v>-1</v>
      </c>
      <c r="C103" s="4"/>
      <c r="D103" s="8" t="str">
        <f aca="false">IF(C103="Sí",$D$77*B103,"")</f>
        <v/>
      </c>
    </row>
    <row r="104" customFormat="false" ht="15.75" hidden="false" customHeight="true" outlineLevel="0" collapsed="false">
      <c r="A104" s="31" t="s">
        <v>145</v>
      </c>
      <c r="B104" s="39" t="n">
        <v>-1</v>
      </c>
      <c r="C104" s="4"/>
      <c r="D104" s="8" t="str">
        <f aca="false">IF(C104="Sí",$D$77*B104,"")</f>
        <v/>
      </c>
    </row>
    <row r="105" customFormat="false" ht="15.75" hidden="false" customHeight="true" outlineLevel="0" collapsed="false">
      <c r="A105" s="31" t="s">
        <v>146</v>
      </c>
      <c r="B105" s="39" t="n">
        <v>-1</v>
      </c>
      <c r="C105" s="4"/>
      <c r="D105" s="8" t="str">
        <f aca="false">IF(C105="Sí",$D$77*B105,"")</f>
        <v/>
      </c>
    </row>
    <row r="106" customFormat="false" ht="15.75" hidden="false" customHeight="true" outlineLevel="0" collapsed="false">
      <c r="A106" s="34" t="s">
        <v>147</v>
      </c>
      <c r="B106" s="36"/>
      <c r="C106" s="36"/>
      <c r="D106" s="16" t="str">
        <f aca="false">IF(SUM(D90:D105)=0,"",SUM(D90:D105))</f>
        <v/>
      </c>
    </row>
    <row r="107" customFormat="false" ht="1.5" hidden="false" customHeight="true" outlineLevel="0" collapsed="false">
      <c r="A107" s="18"/>
      <c r="B107" s="18"/>
      <c r="C107" s="18"/>
      <c r="D107" s="18"/>
    </row>
    <row r="108" customFormat="false" ht="21.75" hidden="false" customHeight="true" outlineLevel="0" collapsed="false">
      <c r="A108" s="40" t="s">
        <v>148</v>
      </c>
      <c r="B108" s="41"/>
      <c r="C108" s="41"/>
      <c r="D108" s="42" t="e">
        <f aca="false">IF(MAX(0,ROUND($D$77+$D$106,2))=0,"",MAX(0,ROUND($D$77+$D$106,2)))</f>
        <v>#VALUE!</v>
      </c>
    </row>
    <row r="109" customFormat="false" ht="1.5" hidden="false" customHeight="true" outlineLevel="0" collapsed="false">
      <c r="A109" s="18"/>
      <c r="B109" s="18"/>
      <c r="C109" s="18"/>
      <c r="D109" s="18"/>
    </row>
    <row r="110" customFormat="false" ht="15.75" hidden="false" customHeight="true" outlineLevel="0" collapsed="false">
      <c r="A110" s="43" t="s">
        <v>149</v>
      </c>
      <c r="B110" s="18"/>
      <c r="C110" s="18"/>
      <c r="D110" s="18"/>
    </row>
    <row r="111" customFormat="false" ht="18" hidden="false" customHeight="true" outlineLevel="0" collapsed="false">
      <c r="A111" s="37"/>
      <c r="B111" s="37"/>
      <c r="C111" s="37"/>
      <c r="D111" s="37"/>
    </row>
    <row r="112" customFormat="false" ht="18" hidden="false" customHeight="true" outlineLevel="0" collapsed="false">
      <c r="A112" s="37"/>
      <c r="B112" s="37"/>
      <c r="C112" s="37"/>
      <c r="D112" s="37"/>
    </row>
    <row r="113" customFormat="false" ht="3" hidden="false" customHeight="true" outlineLevel="0" collapsed="false">
      <c r="A113" s="18"/>
      <c r="B113" s="18"/>
      <c r="C113" s="18"/>
      <c r="D113" s="18"/>
    </row>
    <row r="114" customFormat="false" ht="12" hidden="false" customHeight="true" outlineLevel="0" collapsed="false">
      <c r="A114" s="18"/>
      <c r="B114" s="18"/>
      <c r="C114" s="18"/>
      <c r="D114" s="18"/>
    </row>
    <row r="115" customFormat="false" ht="8.25" hidden="false" customHeight="true" outlineLevel="0" collapsed="false">
      <c r="A115" s="44" t="s">
        <v>150</v>
      </c>
      <c r="B115" s="18"/>
      <c r="C115" s="44" t="s">
        <v>150</v>
      </c>
      <c r="D115" s="18"/>
    </row>
    <row r="116" customFormat="false" ht="13.5" hidden="false" customHeight="true" outlineLevel="0" collapsed="false">
      <c r="A116" s="44" t="s">
        <v>151</v>
      </c>
      <c r="B116" s="18"/>
      <c r="C116" s="44" t="s">
        <v>152</v>
      </c>
      <c r="D116" s="18"/>
    </row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</sheetData>
  <mergeCells count="8">
    <mergeCell ref="A8:D8"/>
    <mergeCell ref="A10:B10"/>
    <mergeCell ref="C10:D10"/>
    <mergeCell ref="A11:B11"/>
    <mergeCell ref="C11:D11"/>
    <mergeCell ref="A12:B12"/>
    <mergeCell ref="A111:D111"/>
    <mergeCell ref="A112:D112"/>
  </mergeCells>
  <conditionalFormatting sqref="D15:D76">
    <cfRule type="cellIs" priority="2" operator="greaterThan" aboveAverage="0" equalAverage="0" bottom="0" percent="0" rank="0" text="" dxfId="10">
      <formula>B15</formula>
    </cfRule>
  </conditionalFormatting>
  <dataValidations count="1">
    <dataValidation allowBlank="true" errorStyle="stop" operator="equal" showDropDown="false" showErrorMessage="false" showInputMessage="false" sqref="B81:B86 C90:C105" type="list">
      <formula1>"Sí,No"</formula1>
      <formula2>0</formula2>
    </dataValidation>
  </dataValidations>
  <printOptions headings="false" gridLines="false" gridLinesSet="true" horizontalCentered="true" verticalCentered="false"/>
  <pageMargins left="0.39375" right="0.39375" top="0.196527777777778" bottom="0.196527777777778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86"/>
  <sheetViews>
    <sheetView showFormulas="false" showGridLines="false" showRowColHeaders="true" showZeros="true" rightToLeft="false" tabSelected="false" showOutlineSymbols="true" defaultGridColor="true" view="normal" topLeftCell="A76" colorId="64" zoomScale="100" zoomScaleNormal="100" zoomScalePageLayoutView="100" workbookViewId="0">
      <selection pane="topLeft" activeCell="D74" activeCellId="0" sqref="D74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87.43"/>
    <col collapsed="false" customWidth="true" hidden="false" outlineLevel="0" max="2" min="2" style="1" width="11"/>
    <col collapsed="false" customWidth="true" hidden="false" outlineLevel="0" max="3" min="3" style="1" width="34"/>
    <col collapsed="false" customWidth="true" hidden="false" outlineLevel="0" max="4" min="4" style="1" width="11"/>
    <col collapsed="false" customWidth="true" hidden="false" outlineLevel="0" max="26" min="5" style="1" width="8.71"/>
  </cols>
  <sheetData>
    <row r="1" customFormat="false" ht="13.8" hidden="false" customHeight="false" outlineLevel="0" collapsed="false">
      <c r="A1" s="17" t="s">
        <v>41</v>
      </c>
      <c r="B1" s="18"/>
      <c r="C1" s="18"/>
      <c r="D1" s="18"/>
    </row>
    <row r="2" customFormat="false" ht="13.8" hidden="false" customHeight="false" outlineLevel="0" collapsed="false">
      <c r="A2" s="17" t="s">
        <v>42</v>
      </c>
      <c r="B2" s="18"/>
      <c r="C2" s="18"/>
      <c r="D2" s="18"/>
    </row>
    <row r="3" customFormat="false" ht="13.8" hidden="false" customHeight="false" outlineLevel="0" collapsed="false">
      <c r="A3" s="17" t="s">
        <v>43</v>
      </c>
      <c r="B3" s="18"/>
      <c r="C3" s="18"/>
      <c r="D3" s="18"/>
    </row>
    <row r="4" customFormat="false" ht="13.8" hidden="false" customHeight="false" outlineLevel="0" collapsed="false">
      <c r="A4" s="17" t="s">
        <v>44</v>
      </c>
      <c r="B4" s="18"/>
      <c r="C4" s="18"/>
      <c r="D4" s="18"/>
    </row>
    <row r="5" customFormat="false" ht="13.8" hidden="false" customHeight="false" outlineLevel="0" collapsed="false">
      <c r="A5" s="17" t="s">
        <v>45</v>
      </c>
      <c r="B5" s="18"/>
      <c r="C5" s="18"/>
      <c r="D5" s="18"/>
    </row>
    <row r="6" customFormat="false" ht="13.8" hidden="false" customHeight="false" outlineLevel="0" collapsed="false">
      <c r="A6" s="17" t="s">
        <v>46</v>
      </c>
      <c r="B6" s="18"/>
      <c r="C6" s="18"/>
      <c r="D6" s="18"/>
    </row>
    <row r="7" customFormat="false" ht="13.8" hidden="false" customHeight="false" outlineLevel="0" collapsed="false">
      <c r="A7" s="17"/>
      <c r="B7" s="18"/>
      <c r="C7" s="18"/>
      <c r="D7" s="18"/>
    </row>
    <row r="8" customFormat="false" ht="13.8" hidden="false" customHeight="false" outlineLevel="0" collapsed="false">
      <c r="A8" s="19" t="s">
        <v>47</v>
      </c>
      <c r="B8" s="19"/>
      <c r="C8" s="19"/>
      <c r="D8" s="19"/>
    </row>
    <row r="9" customFormat="false" ht="13.8" hidden="false" customHeight="false" outlineLevel="0" collapsed="false">
      <c r="A9" s="20"/>
      <c r="B9" s="20"/>
      <c r="C9" s="20"/>
      <c r="D9" s="20"/>
    </row>
    <row r="10" customFormat="false" ht="13.8" hidden="false" customHeight="false" outlineLevel="0" collapsed="false">
      <c r="A10" s="21" t="s">
        <v>48</v>
      </c>
      <c r="B10" s="21"/>
      <c r="C10" s="22"/>
      <c r="D10" s="22"/>
    </row>
    <row r="11" customFormat="false" ht="13.8" hidden="false" customHeight="false" outlineLevel="0" collapsed="false">
      <c r="A11" s="21" t="s">
        <v>49</v>
      </c>
      <c r="B11" s="21"/>
      <c r="C11" s="23" t="str">
        <f aca="false">VLOOKUP(C12, Consolidado!$B$3:$C$26, 2, 0)</f>
        <v>MONIKA ESTEFANIA CRUZ PALACIOS</v>
      </c>
      <c r="D11" s="23"/>
    </row>
    <row r="12" customFormat="false" ht="13.8" hidden="false" customHeight="false" outlineLevel="0" collapsed="false">
      <c r="A12" s="21" t="s">
        <v>50</v>
      </c>
      <c r="B12" s="21"/>
      <c r="C12" s="45" t="n">
        <v>202405048</v>
      </c>
      <c r="D12" s="23"/>
    </row>
    <row r="13" customFormat="false" ht="13.8" hidden="false" customHeight="false" outlineLevel="0" collapsed="false">
      <c r="A13" s="18"/>
      <c r="B13" s="18"/>
      <c r="C13" s="18"/>
      <c r="D13" s="18"/>
    </row>
    <row r="14" customFormat="false" ht="19.5" hidden="false" customHeight="true" outlineLevel="0" collapsed="false">
      <c r="A14" s="24" t="s">
        <v>51</v>
      </c>
      <c r="B14" s="24" t="s">
        <v>52</v>
      </c>
      <c r="C14" s="24" t="s">
        <v>53</v>
      </c>
      <c r="D14" s="24" t="s">
        <v>54</v>
      </c>
    </row>
    <row r="15" customFormat="false" ht="19.5" hidden="false" customHeight="true" outlineLevel="0" collapsed="false">
      <c r="A15" s="25" t="s">
        <v>55</v>
      </c>
      <c r="B15" s="26" t="n">
        <f aca="false">B16+B21+B25</f>
        <v>20</v>
      </c>
      <c r="C15" s="25"/>
      <c r="D15" s="27" t="n">
        <f aca="false">IF(D16+D21+D25=0,"",D16+D21+D25)</f>
        <v>18</v>
      </c>
    </row>
    <row r="16" customFormat="false" ht="18" hidden="false" customHeight="true" outlineLevel="0" collapsed="false">
      <c r="A16" s="28" t="s">
        <v>56</v>
      </c>
      <c r="B16" s="29" t="n">
        <f aca="false">SUM(B17:B20)</f>
        <v>8</v>
      </c>
      <c r="C16" s="28"/>
      <c r="D16" s="30" t="n">
        <f aca="false">SUM(D17:D20)</f>
        <v>8</v>
      </c>
    </row>
    <row r="17" customFormat="false" ht="15" hidden="false" customHeight="true" outlineLevel="0" collapsed="false">
      <c r="A17" s="31" t="s">
        <v>57</v>
      </c>
      <c r="B17" s="32" t="n">
        <v>2</v>
      </c>
      <c r="C17" s="31"/>
      <c r="D17" s="33" t="n">
        <v>2</v>
      </c>
    </row>
    <row r="18" customFormat="false" ht="15" hidden="false" customHeight="true" outlineLevel="0" collapsed="false">
      <c r="A18" s="31" t="s">
        <v>58</v>
      </c>
      <c r="B18" s="32" t="n">
        <v>2</v>
      </c>
      <c r="C18" s="31"/>
      <c r="D18" s="33" t="n">
        <v>2</v>
      </c>
    </row>
    <row r="19" customFormat="false" ht="15" hidden="false" customHeight="true" outlineLevel="0" collapsed="false">
      <c r="A19" s="31" t="s">
        <v>59</v>
      </c>
      <c r="B19" s="32" t="n">
        <v>2</v>
      </c>
      <c r="C19" s="31"/>
      <c r="D19" s="33" t="n">
        <v>2</v>
      </c>
    </row>
    <row r="20" customFormat="false" ht="15" hidden="false" customHeight="true" outlineLevel="0" collapsed="false">
      <c r="A20" s="31" t="s">
        <v>60</v>
      </c>
      <c r="B20" s="32" t="n">
        <v>2</v>
      </c>
      <c r="C20" s="31"/>
      <c r="D20" s="33" t="n">
        <v>2</v>
      </c>
    </row>
    <row r="21" customFormat="false" ht="18" hidden="false" customHeight="true" outlineLevel="0" collapsed="false">
      <c r="A21" s="28" t="s">
        <v>61</v>
      </c>
      <c r="B21" s="29" t="n">
        <f aca="false">SUM(B22:B24)</f>
        <v>6</v>
      </c>
      <c r="C21" s="28"/>
      <c r="D21" s="30" t="n">
        <f aca="false">SUM(D22:D24)</f>
        <v>6</v>
      </c>
    </row>
    <row r="22" customFormat="false" ht="15" hidden="false" customHeight="true" outlineLevel="0" collapsed="false">
      <c r="A22" s="31" t="s">
        <v>62</v>
      </c>
      <c r="B22" s="32" t="n">
        <v>2</v>
      </c>
      <c r="C22" s="31"/>
      <c r="D22" s="33" t="n">
        <v>2</v>
      </c>
    </row>
    <row r="23" customFormat="false" ht="15" hidden="false" customHeight="true" outlineLevel="0" collapsed="false">
      <c r="A23" s="31" t="s">
        <v>63</v>
      </c>
      <c r="B23" s="32" t="n">
        <v>2</v>
      </c>
      <c r="C23" s="31"/>
      <c r="D23" s="33" t="n">
        <v>2</v>
      </c>
    </row>
    <row r="24" customFormat="false" ht="15" hidden="false" customHeight="true" outlineLevel="0" collapsed="false">
      <c r="A24" s="31" t="s">
        <v>64</v>
      </c>
      <c r="B24" s="32" t="n">
        <v>2</v>
      </c>
      <c r="C24" s="31"/>
      <c r="D24" s="33" t="n">
        <v>2</v>
      </c>
    </row>
    <row r="25" customFormat="false" ht="18" hidden="false" customHeight="true" outlineLevel="0" collapsed="false">
      <c r="A25" s="28" t="s">
        <v>65</v>
      </c>
      <c r="B25" s="29" t="n">
        <f aca="false">SUM(B26:B28)</f>
        <v>6</v>
      </c>
      <c r="C25" s="28"/>
      <c r="D25" s="30" t="n">
        <f aca="false">SUM(D26:D28)</f>
        <v>4</v>
      </c>
    </row>
    <row r="26" customFormat="false" ht="16.5" hidden="false" customHeight="true" outlineLevel="0" collapsed="false">
      <c r="A26" s="31" t="s">
        <v>66</v>
      </c>
      <c r="B26" s="32" t="n">
        <v>2</v>
      </c>
      <c r="C26" s="31"/>
      <c r="D26" s="33" t="n">
        <v>2</v>
      </c>
    </row>
    <row r="27" customFormat="false" ht="15" hidden="false" customHeight="true" outlineLevel="0" collapsed="false">
      <c r="A27" s="31" t="s">
        <v>67</v>
      </c>
      <c r="B27" s="32" t="n">
        <v>2</v>
      </c>
      <c r="C27" s="31"/>
      <c r="D27" s="33" t="n">
        <v>2</v>
      </c>
    </row>
    <row r="28" customFormat="false" ht="15" hidden="false" customHeight="true" outlineLevel="0" collapsed="false">
      <c r="A28" s="31" t="s">
        <v>68</v>
      </c>
      <c r="B28" s="32" t="n">
        <v>2</v>
      </c>
      <c r="C28" s="31"/>
      <c r="D28" s="33" t="n">
        <v>0</v>
      </c>
    </row>
    <row r="29" customFormat="false" ht="19.5" hidden="false" customHeight="true" outlineLevel="0" collapsed="false">
      <c r="A29" s="25" t="s">
        <v>69</v>
      </c>
      <c r="B29" s="26" t="n">
        <f aca="false">B30+B34+B40+B44+B49+B53+B58+B63</f>
        <v>55</v>
      </c>
      <c r="C29" s="25"/>
      <c r="D29" s="27" t="n">
        <f aca="false">IF(D30+D34+D40+D44+D49+D53+D58+D63=0,"",D30+D34+D40+D44+D49+D53+D58+D63)</f>
        <v>47</v>
      </c>
    </row>
    <row r="30" customFormat="false" ht="18" hidden="false" customHeight="true" outlineLevel="0" collapsed="false">
      <c r="A30" s="28" t="s">
        <v>70</v>
      </c>
      <c r="B30" s="29" t="n">
        <f aca="false">SUM(B31:B33)</f>
        <v>5</v>
      </c>
      <c r="C30" s="28"/>
      <c r="D30" s="30" t="n">
        <f aca="false">SUM(D31:D33)</f>
        <v>3</v>
      </c>
    </row>
    <row r="31" customFormat="false" ht="15" hidden="false" customHeight="true" outlineLevel="0" collapsed="false">
      <c r="A31" s="31" t="s">
        <v>71</v>
      </c>
      <c r="B31" s="32" t="n">
        <v>2</v>
      </c>
      <c r="C31" s="31"/>
      <c r="D31" s="33" t="n">
        <v>2</v>
      </c>
    </row>
    <row r="32" customFormat="false" ht="15" hidden="false" customHeight="true" outlineLevel="0" collapsed="false">
      <c r="A32" s="31" t="s">
        <v>72</v>
      </c>
      <c r="B32" s="32" t="n">
        <v>2</v>
      </c>
      <c r="C32" s="31"/>
      <c r="D32" s="33" t="n">
        <v>1</v>
      </c>
    </row>
    <row r="33" customFormat="false" ht="15" hidden="false" customHeight="true" outlineLevel="0" collapsed="false">
      <c r="A33" s="31" t="s">
        <v>73</v>
      </c>
      <c r="B33" s="32" t="n">
        <v>1</v>
      </c>
      <c r="C33" s="31"/>
      <c r="D33" s="33" t="n">
        <v>0</v>
      </c>
    </row>
    <row r="34" customFormat="false" ht="18" hidden="false" customHeight="true" outlineLevel="0" collapsed="false">
      <c r="A34" s="28" t="s">
        <v>74</v>
      </c>
      <c r="B34" s="29" t="n">
        <f aca="false">SUM(B35:B39)</f>
        <v>10</v>
      </c>
      <c r="C34" s="28"/>
      <c r="D34" s="30" t="n">
        <f aca="false">SUM(D35:D39)</f>
        <v>10</v>
      </c>
    </row>
    <row r="35" customFormat="false" ht="15" hidden="false" customHeight="true" outlineLevel="0" collapsed="false">
      <c r="A35" s="31" t="s">
        <v>75</v>
      </c>
      <c r="B35" s="32" t="n">
        <v>3</v>
      </c>
      <c r="C35" s="31"/>
      <c r="D35" s="33" t="n">
        <v>3</v>
      </c>
    </row>
    <row r="36" customFormat="false" ht="15" hidden="false" customHeight="true" outlineLevel="0" collapsed="false">
      <c r="A36" s="31" t="s">
        <v>76</v>
      </c>
      <c r="B36" s="32" t="n">
        <v>2</v>
      </c>
      <c r="C36" s="31"/>
      <c r="D36" s="33" t="n">
        <v>2</v>
      </c>
    </row>
    <row r="37" customFormat="false" ht="15" hidden="false" customHeight="true" outlineLevel="0" collapsed="false">
      <c r="A37" s="31" t="s">
        <v>77</v>
      </c>
      <c r="B37" s="32" t="n">
        <v>2</v>
      </c>
      <c r="C37" s="31"/>
      <c r="D37" s="33" t="n">
        <v>2</v>
      </c>
    </row>
    <row r="38" customFormat="false" ht="15" hidden="false" customHeight="true" outlineLevel="0" collapsed="false">
      <c r="A38" s="31" t="s">
        <v>78</v>
      </c>
      <c r="B38" s="32" t="n">
        <v>1</v>
      </c>
      <c r="C38" s="31"/>
      <c r="D38" s="33" t="n">
        <v>1</v>
      </c>
    </row>
    <row r="39" customFormat="false" ht="15" hidden="false" customHeight="true" outlineLevel="0" collapsed="false">
      <c r="A39" s="31" t="s">
        <v>79</v>
      </c>
      <c r="B39" s="32" t="n">
        <v>2</v>
      </c>
      <c r="C39" s="31"/>
      <c r="D39" s="33" t="n">
        <v>2</v>
      </c>
    </row>
    <row r="40" customFormat="false" ht="18" hidden="false" customHeight="true" outlineLevel="0" collapsed="false">
      <c r="A40" s="28" t="s">
        <v>80</v>
      </c>
      <c r="B40" s="29" t="n">
        <f aca="false">SUM(B41:B43)</f>
        <v>6</v>
      </c>
      <c r="C40" s="28"/>
      <c r="D40" s="30" t="n">
        <f aca="false">SUM(D41:D43)</f>
        <v>6</v>
      </c>
    </row>
    <row r="41" customFormat="false" ht="15" hidden="false" customHeight="true" outlineLevel="0" collapsed="false">
      <c r="A41" s="31" t="s">
        <v>81</v>
      </c>
      <c r="B41" s="32" t="n">
        <v>2</v>
      </c>
      <c r="C41" s="31"/>
      <c r="D41" s="33" t="n">
        <v>2</v>
      </c>
    </row>
    <row r="42" customFormat="false" ht="15" hidden="false" customHeight="true" outlineLevel="0" collapsed="false">
      <c r="A42" s="31" t="s">
        <v>82</v>
      </c>
      <c r="B42" s="32" t="n">
        <v>2</v>
      </c>
      <c r="C42" s="31"/>
      <c r="D42" s="33" t="n">
        <v>2</v>
      </c>
    </row>
    <row r="43" customFormat="false" ht="15" hidden="false" customHeight="true" outlineLevel="0" collapsed="false">
      <c r="A43" s="31" t="s">
        <v>83</v>
      </c>
      <c r="B43" s="32" t="n">
        <v>2</v>
      </c>
      <c r="C43" s="31"/>
      <c r="D43" s="33" t="n">
        <v>2</v>
      </c>
    </row>
    <row r="44" customFormat="false" ht="18" hidden="false" customHeight="true" outlineLevel="0" collapsed="false">
      <c r="A44" s="28" t="s">
        <v>84</v>
      </c>
      <c r="B44" s="29" t="n">
        <f aca="false">SUM(B45:B48)</f>
        <v>8</v>
      </c>
      <c r="C44" s="28"/>
      <c r="D44" s="30" t="n">
        <f aca="false">SUM(D45:D48)</f>
        <v>7</v>
      </c>
    </row>
    <row r="45" customFormat="false" ht="15" hidden="false" customHeight="true" outlineLevel="0" collapsed="false">
      <c r="A45" s="31" t="s">
        <v>85</v>
      </c>
      <c r="B45" s="32" t="n">
        <v>2</v>
      </c>
      <c r="C45" s="31"/>
      <c r="D45" s="33" t="n">
        <v>2</v>
      </c>
    </row>
    <row r="46" customFormat="false" ht="15" hidden="false" customHeight="true" outlineLevel="0" collapsed="false">
      <c r="A46" s="31" t="s">
        <v>86</v>
      </c>
      <c r="B46" s="32" t="n">
        <v>3</v>
      </c>
      <c r="C46" s="31"/>
      <c r="D46" s="33" t="n">
        <v>3</v>
      </c>
    </row>
    <row r="47" customFormat="false" ht="15" hidden="false" customHeight="true" outlineLevel="0" collapsed="false">
      <c r="A47" s="31" t="s">
        <v>87</v>
      </c>
      <c r="B47" s="32" t="n">
        <v>2</v>
      </c>
      <c r="C47" s="31"/>
      <c r="D47" s="33" t="n">
        <v>2</v>
      </c>
    </row>
    <row r="48" customFormat="false" ht="15" hidden="false" customHeight="true" outlineLevel="0" collapsed="false">
      <c r="A48" s="31" t="s">
        <v>88</v>
      </c>
      <c r="B48" s="32" t="n">
        <v>1</v>
      </c>
      <c r="C48" s="31"/>
      <c r="D48" s="33" t="n">
        <v>0</v>
      </c>
    </row>
    <row r="49" customFormat="false" ht="18" hidden="false" customHeight="true" outlineLevel="0" collapsed="false">
      <c r="A49" s="28" t="s">
        <v>89</v>
      </c>
      <c r="B49" s="29" t="n">
        <f aca="false">SUM(B50:B52)</f>
        <v>6</v>
      </c>
      <c r="C49" s="28"/>
      <c r="D49" s="30" t="n">
        <f aca="false">SUM(D50:D52)</f>
        <v>4</v>
      </c>
    </row>
    <row r="50" customFormat="false" ht="15" hidden="false" customHeight="true" outlineLevel="0" collapsed="false">
      <c r="A50" s="31" t="s">
        <v>90</v>
      </c>
      <c r="B50" s="32" t="n">
        <v>2</v>
      </c>
      <c r="C50" s="31"/>
      <c r="D50" s="33" t="n">
        <v>2</v>
      </c>
    </row>
    <row r="51" customFormat="false" ht="15" hidden="false" customHeight="true" outlineLevel="0" collapsed="false">
      <c r="A51" s="31" t="s">
        <v>91</v>
      </c>
      <c r="B51" s="32" t="n">
        <v>2</v>
      </c>
      <c r="C51" s="31"/>
      <c r="D51" s="33" t="n">
        <v>0</v>
      </c>
    </row>
    <row r="52" customFormat="false" ht="15" hidden="false" customHeight="true" outlineLevel="0" collapsed="false">
      <c r="A52" s="31" t="s">
        <v>92</v>
      </c>
      <c r="B52" s="32" t="n">
        <v>2</v>
      </c>
      <c r="C52" s="31"/>
      <c r="D52" s="33" t="n">
        <v>2</v>
      </c>
    </row>
    <row r="53" customFormat="false" ht="18" hidden="false" customHeight="true" outlineLevel="0" collapsed="false">
      <c r="A53" s="28" t="s">
        <v>93</v>
      </c>
      <c r="B53" s="29" t="n">
        <f aca="false">SUM(B54:B57)</f>
        <v>8</v>
      </c>
      <c r="C53" s="28"/>
      <c r="D53" s="30" t="n">
        <f aca="false">SUM(D54:D57)</f>
        <v>8</v>
      </c>
    </row>
    <row r="54" customFormat="false" ht="15" hidden="false" customHeight="true" outlineLevel="0" collapsed="false">
      <c r="A54" s="31" t="s">
        <v>94</v>
      </c>
      <c r="B54" s="32" t="n">
        <v>2</v>
      </c>
      <c r="C54" s="31"/>
      <c r="D54" s="33" t="n">
        <v>2</v>
      </c>
    </row>
    <row r="55" customFormat="false" ht="15" hidden="false" customHeight="true" outlineLevel="0" collapsed="false">
      <c r="A55" s="31" t="s">
        <v>95</v>
      </c>
      <c r="B55" s="32" t="n">
        <v>3</v>
      </c>
      <c r="C55" s="31"/>
      <c r="D55" s="33" t="n">
        <v>3</v>
      </c>
    </row>
    <row r="56" customFormat="false" ht="15" hidden="false" customHeight="true" outlineLevel="0" collapsed="false">
      <c r="A56" s="31" t="s">
        <v>96</v>
      </c>
      <c r="B56" s="32" t="n">
        <v>2</v>
      </c>
      <c r="C56" s="31"/>
      <c r="D56" s="33" t="n">
        <v>2</v>
      </c>
    </row>
    <row r="57" customFormat="false" ht="15" hidden="false" customHeight="true" outlineLevel="0" collapsed="false">
      <c r="A57" s="31" t="s">
        <v>97</v>
      </c>
      <c r="B57" s="32" t="n">
        <v>1</v>
      </c>
      <c r="C57" s="31"/>
      <c r="D57" s="33" t="n">
        <v>1</v>
      </c>
    </row>
    <row r="58" customFormat="false" ht="18" hidden="false" customHeight="true" outlineLevel="0" collapsed="false">
      <c r="A58" s="28" t="s">
        <v>98</v>
      </c>
      <c r="B58" s="29" t="n">
        <f aca="false">SUM(B59:B62)</f>
        <v>6</v>
      </c>
      <c r="C58" s="28"/>
      <c r="D58" s="30" t="n">
        <f aca="false">SUM(D59:D62)</f>
        <v>3</v>
      </c>
    </row>
    <row r="59" customFormat="false" ht="15" hidden="false" customHeight="true" outlineLevel="0" collapsed="false">
      <c r="A59" s="31" t="s">
        <v>99</v>
      </c>
      <c r="B59" s="32" t="n">
        <v>2</v>
      </c>
      <c r="C59" s="31"/>
      <c r="D59" s="33" t="n">
        <v>1</v>
      </c>
    </row>
    <row r="60" customFormat="false" ht="15" hidden="false" customHeight="true" outlineLevel="0" collapsed="false">
      <c r="A60" s="31" t="s">
        <v>100</v>
      </c>
      <c r="B60" s="32" t="n">
        <v>2</v>
      </c>
      <c r="C60" s="31"/>
      <c r="D60" s="33" t="n">
        <v>1</v>
      </c>
    </row>
    <row r="61" customFormat="false" ht="15" hidden="false" customHeight="true" outlineLevel="0" collapsed="false">
      <c r="A61" s="31" t="s">
        <v>101</v>
      </c>
      <c r="B61" s="32" t="n">
        <v>1</v>
      </c>
      <c r="C61" s="31"/>
      <c r="D61" s="33" t="n">
        <v>0.5</v>
      </c>
    </row>
    <row r="62" customFormat="false" ht="15" hidden="false" customHeight="true" outlineLevel="0" collapsed="false">
      <c r="A62" s="31" t="s">
        <v>102</v>
      </c>
      <c r="B62" s="32" t="n">
        <v>1</v>
      </c>
      <c r="C62" s="31"/>
      <c r="D62" s="33" t="n">
        <v>0.5</v>
      </c>
    </row>
    <row r="63" customFormat="false" ht="15" hidden="false" customHeight="true" outlineLevel="0" collapsed="false">
      <c r="A63" s="28" t="s">
        <v>103</v>
      </c>
      <c r="B63" s="29" t="n">
        <f aca="false">SUM(B64:B65)</f>
        <v>6</v>
      </c>
      <c r="C63" s="28"/>
      <c r="D63" s="30" t="n">
        <f aca="false">SUM(D64:D65)</f>
        <v>6</v>
      </c>
    </row>
    <row r="64" customFormat="false" ht="15" hidden="false" customHeight="true" outlineLevel="0" collapsed="false">
      <c r="A64" s="31" t="s">
        <v>104</v>
      </c>
      <c r="B64" s="32" t="n">
        <v>3</v>
      </c>
      <c r="C64" s="31"/>
      <c r="D64" s="33" t="n">
        <v>3</v>
      </c>
    </row>
    <row r="65" customFormat="false" ht="15" hidden="false" customHeight="true" outlineLevel="0" collapsed="false">
      <c r="A65" s="31" t="s">
        <v>105</v>
      </c>
      <c r="B65" s="32" t="n">
        <v>3</v>
      </c>
      <c r="C65" s="31"/>
      <c r="D65" s="33" t="n">
        <v>3</v>
      </c>
    </row>
    <row r="66" customFormat="false" ht="19.5" hidden="false" customHeight="true" outlineLevel="0" collapsed="false">
      <c r="A66" s="25" t="s">
        <v>106</v>
      </c>
      <c r="B66" s="26" t="n">
        <f aca="false">B67+B73</f>
        <v>25</v>
      </c>
      <c r="C66" s="25"/>
      <c r="D66" s="27" t="n">
        <f aca="false">IF(D67+D73=0,"",D67+D73)</f>
        <v>2</v>
      </c>
    </row>
    <row r="67" customFormat="false" ht="18" hidden="false" customHeight="true" outlineLevel="0" collapsed="false">
      <c r="A67" s="28" t="s">
        <v>107</v>
      </c>
      <c r="B67" s="29" t="n">
        <f aca="false">SUM(B68:B72)</f>
        <v>10</v>
      </c>
      <c r="C67" s="28"/>
      <c r="D67" s="30" t="n">
        <f aca="false">IF(SUM(D68:D72)=0,"",SUM(D68:D72))</f>
        <v>2</v>
      </c>
    </row>
    <row r="68" customFormat="false" ht="15" hidden="false" customHeight="true" outlineLevel="0" collapsed="false">
      <c r="A68" s="31" t="s">
        <v>108</v>
      </c>
      <c r="B68" s="32" t="n">
        <v>2</v>
      </c>
      <c r="C68" s="31"/>
      <c r="D68" s="33" t="n">
        <v>0</v>
      </c>
    </row>
    <row r="69" customFormat="false" ht="15" hidden="false" customHeight="true" outlineLevel="0" collapsed="false">
      <c r="A69" s="31" t="s">
        <v>109</v>
      </c>
      <c r="B69" s="32" t="n">
        <v>2</v>
      </c>
      <c r="C69" s="31"/>
      <c r="D69" s="33" t="n">
        <v>0</v>
      </c>
    </row>
    <row r="70" customFormat="false" ht="15" hidden="false" customHeight="true" outlineLevel="0" collapsed="false">
      <c r="A70" s="31" t="s">
        <v>110</v>
      </c>
      <c r="B70" s="32" t="n">
        <v>2</v>
      </c>
      <c r="C70" s="31"/>
      <c r="D70" s="33" t="n">
        <v>0</v>
      </c>
    </row>
    <row r="71" customFormat="false" ht="15" hidden="false" customHeight="true" outlineLevel="0" collapsed="false">
      <c r="A71" s="31" t="s">
        <v>111</v>
      </c>
      <c r="B71" s="32" t="n">
        <v>2</v>
      </c>
      <c r="C71" s="31"/>
      <c r="D71" s="33" t="n">
        <v>2</v>
      </c>
    </row>
    <row r="72" customFormat="false" ht="15" hidden="false" customHeight="true" outlineLevel="0" collapsed="false">
      <c r="A72" s="31" t="s">
        <v>112</v>
      </c>
      <c r="B72" s="32" t="n">
        <v>2</v>
      </c>
      <c r="C72" s="31"/>
      <c r="D72" s="33" t="n">
        <v>0</v>
      </c>
    </row>
    <row r="73" customFormat="false" ht="18" hidden="false" customHeight="true" outlineLevel="0" collapsed="false">
      <c r="A73" s="28" t="s">
        <v>113</v>
      </c>
      <c r="B73" s="29" t="n">
        <f aca="false">SUM(B74:B76)</f>
        <v>15</v>
      </c>
      <c r="C73" s="28"/>
      <c r="D73" s="30" t="n">
        <f aca="false">SUM(D74:D76)</f>
        <v>0</v>
      </c>
    </row>
    <row r="74" customFormat="false" ht="15" hidden="false" customHeight="true" outlineLevel="0" collapsed="false">
      <c r="A74" s="31" t="s">
        <v>114</v>
      </c>
      <c r="B74" s="32" t="n">
        <v>5</v>
      </c>
      <c r="C74" s="31"/>
      <c r="D74" s="33" t="n">
        <v>0</v>
      </c>
    </row>
    <row r="75" customFormat="false" ht="15" hidden="false" customHeight="true" outlineLevel="0" collapsed="false">
      <c r="A75" s="31" t="s">
        <v>115</v>
      </c>
      <c r="B75" s="32" t="n">
        <v>5</v>
      </c>
      <c r="C75" s="31"/>
      <c r="D75" s="33" t="n">
        <v>0</v>
      </c>
    </row>
    <row r="76" customFormat="false" ht="15" hidden="false" customHeight="true" outlineLevel="0" collapsed="false">
      <c r="A76" s="31" t="s">
        <v>116</v>
      </c>
      <c r="B76" s="32" t="n">
        <v>5</v>
      </c>
      <c r="C76" s="31"/>
      <c r="D76" s="33" t="n">
        <v>0</v>
      </c>
    </row>
    <row r="77" customFormat="false" ht="19.5" hidden="false" customHeight="true" outlineLevel="0" collapsed="false">
      <c r="A77" s="34" t="s">
        <v>117</v>
      </c>
      <c r="B77" s="35" t="n">
        <f aca="false">B15+B29+B66</f>
        <v>100</v>
      </c>
      <c r="C77" s="36"/>
      <c r="D77" s="16" t="n">
        <f aca="false">IF(D15+D29+D66=0,"",D15+D29+D66)</f>
        <v>67</v>
      </c>
    </row>
    <row r="78" customFormat="false" ht="1.5" hidden="false" customHeight="true" outlineLevel="0" collapsed="false">
      <c r="A78" s="18"/>
      <c r="B78" s="18"/>
      <c r="C78" s="18"/>
      <c r="D78" s="18"/>
    </row>
    <row r="79" customFormat="false" ht="15.75" hidden="false" customHeight="true" outlineLevel="0" collapsed="false">
      <c r="A79" s="17" t="s">
        <v>118</v>
      </c>
      <c r="B79" s="18"/>
      <c r="C79" s="18"/>
      <c r="D79" s="18"/>
    </row>
    <row r="80" customFormat="false" ht="15.75" hidden="false" customHeight="true" outlineLevel="0" collapsed="false">
      <c r="A80" s="24" t="s">
        <v>119</v>
      </c>
      <c r="B80" s="24" t="s">
        <v>120</v>
      </c>
      <c r="C80" s="24" t="s">
        <v>53</v>
      </c>
      <c r="D80" s="24"/>
    </row>
    <row r="81" customFormat="false" ht="15.75" hidden="false" customHeight="true" outlineLevel="0" collapsed="false">
      <c r="A81" s="31" t="s">
        <v>121</v>
      </c>
      <c r="B81" s="4"/>
      <c r="C81" s="37"/>
      <c r="D81" s="38"/>
    </row>
    <row r="82" customFormat="false" ht="15.75" hidden="false" customHeight="true" outlineLevel="0" collapsed="false">
      <c r="A82" s="31" t="s">
        <v>122</v>
      </c>
      <c r="B82" s="4"/>
      <c r="C82" s="37"/>
      <c r="D82" s="38"/>
    </row>
    <row r="83" customFormat="false" ht="15.75" hidden="false" customHeight="true" outlineLevel="0" collapsed="false">
      <c r="A83" s="31" t="s">
        <v>123</v>
      </c>
      <c r="B83" s="4"/>
      <c r="C83" s="37"/>
      <c r="D83" s="38"/>
    </row>
    <row r="84" customFormat="false" ht="15.75" hidden="false" customHeight="true" outlineLevel="0" collapsed="false">
      <c r="A84" s="31" t="s">
        <v>124</v>
      </c>
      <c r="B84" s="4"/>
      <c r="C84" s="37"/>
      <c r="D84" s="38"/>
    </row>
    <row r="85" customFormat="false" ht="15.75" hidden="false" customHeight="true" outlineLevel="0" collapsed="false">
      <c r="A85" s="31" t="s">
        <v>125</v>
      </c>
      <c r="B85" s="4"/>
      <c r="C85" s="37"/>
      <c r="D85" s="38"/>
    </row>
    <row r="86" customFormat="false" ht="15.75" hidden="false" customHeight="true" outlineLevel="0" collapsed="false">
      <c r="A86" s="31" t="s">
        <v>126</v>
      </c>
      <c r="B86" s="4"/>
      <c r="C86" s="37"/>
      <c r="D86" s="38"/>
    </row>
    <row r="87" customFormat="false" ht="1.5" hidden="false" customHeight="true" outlineLevel="0" collapsed="false">
      <c r="A87" s="18"/>
      <c r="B87" s="18"/>
      <c r="C87" s="18"/>
      <c r="D87" s="18"/>
    </row>
    <row r="88" customFormat="false" ht="15.75" hidden="false" customHeight="true" outlineLevel="0" collapsed="false">
      <c r="A88" s="17" t="s">
        <v>127</v>
      </c>
      <c r="B88" s="18"/>
      <c r="C88" s="18"/>
      <c r="D88" s="18"/>
    </row>
    <row r="89" customFormat="false" ht="15.75" hidden="false" customHeight="true" outlineLevel="0" collapsed="false">
      <c r="A89" s="24" t="s">
        <v>128</v>
      </c>
      <c r="B89" s="24" t="s">
        <v>8</v>
      </c>
      <c r="C89" s="24" t="s">
        <v>129</v>
      </c>
      <c r="D89" s="24" t="s">
        <v>130</v>
      </c>
    </row>
    <row r="90" customFormat="false" ht="15.75" hidden="false" customHeight="true" outlineLevel="0" collapsed="false">
      <c r="A90" s="31" t="s">
        <v>131</v>
      </c>
      <c r="B90" s="39" t="n">
        <v>-0.3</v>
      </c>
      <c r="C90" s="4"/>
      <c r="D90" s="8" t="str">
        <f aca="false">IF(C90="Sí",$D$77*B90,"")</f>
        <v/>
      </c>
    </row>
    <row r="91" customFormat="false" ht="15.75" hidden="false" customHeight="true" outlineLevel="0" collapsed="false">
      <c r="A91" s="31" t="s">
        <v>132</v>
      </c>
      <c r="B91" s="39" t="n">
        <v>-0.2</v>
      </c>
      <c r="C91" s="4"/>
      <c r="D91" s="8" t="str">
        <f aca="false">IF(C91="Sí",$D$77*B91,"")</f>
        <v/>
      </c>
    </row>
    <row r="92" customFormat="false" ht="15.75" hidden="false" customHeight="true" outlineLevel="0" collapsed="false">
      <c r="A92" s="31" t="s">
        <v>133</v>
      </c>
      <c r="B92" s="39" t="n">
        <v>-1</v>
      </c>
      <c r="C92" s="4"/>
      <c r="D92" s="8" t="str">
        <f aca="false">IF(C92="Sí",$D$77*B92,"")</f>
        <v/>
      </c>
    </row>
    <row r="93" customFormat="false" ht="15.75" hidden="false" customHeight="true" outlineLevel="0" collapsed="false">
      <c r="A93" s="31" t="s">
        <v>134</v>
      </c>
      <c r="B93" s="39" t="n">
        <v>-0.2</v>
      </c>
      <c r="C93" s="4"/>
      <c r="D93" s="8" t="str">
        <f aca="false">IF(C93="Sí",$D$77*B93,"")</f>
        <v/>
      </c>
    </row>
    <row r="94" customFormat="false" ht="15.75" hidden="false" customHeight="true" outlineLevel="0" collapsed="false">
      <c r="A94" s="31" t="s">
        <v>135</v>
      </c>
      <c r="B94" s="39" t="n">
        <v>-1</v>
      </c>
      <c r="C94" s="4"/>
      <c r="D94" s="8" t="str">
        <f aca="false">IF(C94="Sí",$D$77*B94,"")</f>
        <v/>
      </c>
    </row>
    <row r="95" customFormat="false" ht="15.75" hidden="false" customHeight="true" outlineLevel="0" collapsed="false">
      <c r="A95" s="31" t="s">
        <v>136</v>
      </c>
      <c r="B95" s="39" t="n">
        <v>-0.75</v>
      </c>
      <c r="C95" s="4"/>
      <c r="D95" s="8" t="str">
        <f aca="false">IF(C95="Sí",$D$77*B95,"")</f>
        <v/>
      </c>
    </row>
    <row r="96" customFormat="false" ht="15.75" hidden="false" customHeight="true" outlineLevel="0" collapsed="false">
      <c r="A96" s="31" t="s">
        <v>137</v>
      </c>
      <c r="B96" s="39" t="n">
        <v>-0.75</v>
      </c>
      <c r="C96" s="4"/>
      <c r="D96" s="8" t="str">
        <f aca="false">IF(C96="Sí",$D$77*B96,"")</f>
        <v/>
      </c>
    </row>
    <row r="97" customFormat="false" ht="15.75" hidden="false" customHeight="true" outlineLevel="0" collapsed="false">
      <c r="A97" s="31" t="s">
        <v>138</v>
      </c>
      <c r="B97" s="39" t="n">
        <v>-1</v>
      </c>
      <c r="C97" s="4"/>
      <c r="D97" s="8" t="str">
        <f aca="false">IF(C97="Sí",$D$77*B97,"")</f>
        <v/>
      </c>
    </row>
    <row r="98" customFormat="false" ht="15.75" hidden="false" customHeight="true" outlineLevel="0" collapsed="false">
      <c r="A98" s="31" t="s">
        <v>139</v>
      </c>
      <c r="B98" s="39" t="n">
        <v>-0.5</v>
      </c>
      <c r="C98" s="4"/>
      <c r="D98" s="8" t="str">
        <f aca="false">IF(C98="Sí",$D$77*B98,"")</f>
        <v/>
      </c>
    </row>
    <row r="99" customFormat="false" ht="15.75" hidden="false" customHeight="true" outlineLevel="0" collapsed="false">
      <c r="A99" s="31" t="s">
        <v>140</v>
      </c>
      <c r="B99" s="39" t="n">
        <v>-1</v>
      </c>
      <c r="C99" s="4"/>
      <c r="D99" s="8" t="str">
        <f aca="false">IF(C99="Sí",$D$77*B99,"")</f>
        <v/>
      </c>
    </row>
    <row r="100" customFormat="false" ht="15.75" hidden="false" customHeight="true" outlineLevel="0" collapsed="false">
      <c r="A100" s="31" t="s">
        <v>141</v>
      </c>
      <c r="B100" s="39" t="n">
        <v>-1</v>
      </c>
      <c r="C100" s="4"/>
      <c r="D100" s="8" t="str">
        <f aca="false">IF(C100="Sí",$D$77*B100,"")</f>
        <v/>
      </c>
    </row>
    <row r="101" customFormat="false" ht="15.75" hidden="false" customHeight="true" outlineLevel="0" collapsed="false">
      <c r="A101" s="31" t="s">
        <v>142</v>
      </c>
      <c r="B101" s="39" t="n">
        <v>-0.25</v>
      </c>
      <c r="C101" s="4"/>
      <c r="D101" s="8" t="str">
        <f aca="false">IF(C101="Sí",$D$77*B101,"")</f>
        <v/>
      </c>
    </row>
    <row r="102" customFormat="false" ht="15.75" hidden="false" customHeight="true" outlineLevel="0" collapsed="false">
      <c r="A102" s="31" t="s">
        <v>143</v>
      </c>
      <c r="B102" s="39" t="n">
        <v>-1</v>
      </c>
      <c r="C102" s="4"/>
      <c r="D102" s="8" t="str">
        <f aca="false">IF(C102="Sí",$D$77*B102,"")</f>
        <v/>
      </c>
    </row>
    <row r="103" customFormat="false" ht="15.75" hidden="false" customHeight="true" outlineLevel="0" collapsed="false">
      <c r="A103" s="31" t="s">
        <v>144</v>
      </c>
      <c r="B103" s="39" t="n">
        <v>-1</v>
      </c>
      <c r="C103" s="4"/>
      <c r="D103" s="8" t="str">
        <f aca="false">IF(C103="Sí",$D$77*B103,"")</f>
        <v/>
      </c>
    </row>
    <row r="104" customFormat="false" ht="15.75" hidden="false" customHeight="true" outlineLevel="0" collapsed="false">
      <c r="A104" s="31" t="s">
        <v>145</v>
      </c>
      <c r="B104" s="39" t="n">
        <v>-1</v>
      </c>
      <c r="C104" s="4"/>
      <c r="D104" s="8" t="str">
        <f aca="false">IF(C104="Sí",$D$77*B104,"")</f>
        <v/>
      </c>
    </row>
    <row r="105" customFormat="false" ht="15.75" hidden="false" customHeight="true" outlineLevel="0" collapsed="false">
      <c r="A105" s="31" t="s">
        <v>146</v>
      </c>
      <c r="B105" s="39" t="n">
        <v>-1</v>
      </c>
      <c r="C105" s="4"/>
      <c r="D105" s="8" t="str">
        <f aca="false">IF(C105="Sí",$D$77*B105,"")</f>
        <v/>
      </c>
    </row>
    <row r="106" customFormat="false" ht="15.75" hidden="false" customHeight="true" outlineLevel="0" collapsed="false">
      <c r="A106" s="34" t="s">
        <v>147</v>
      </c>
      <c r="B106" s="36"/>
      <c r="C106" s="36"/>
      <c r="D106" s="16" t="str">
        <f aca="false">IF(SUM(D90:D105)=0,"",SUM(D90:D105))</f>
        <v/>
      </c>
    </row>
    <row r="107" customFormat="false" ht="1.5" hidden="false" customHeight="true" outlineLevel="0" collapsed="false">
      <c r="A107" s="18"/>
      <c r="B107" s="18"/>
      <c r="C107" s="18"/>
      <c r="D107" s="18"/>
    </row>
    <row r="108" customFormat="false" ht="21.75" hidden="false" customHeight="true" outlineLevel="0" collapsed="false">
      <c r="A108" s="40" t="s">
        <v>148</v>
      </c>
      <c r="B108" s="41"/>
      <c r="C108" s="41"/>
      <c r="D108" s="42" t="e">
        <f aca="false">IF(MAX(0,ROUND($D$77+$D$106,2))=0,"",MAX(0,ROUND($D$77+$D$106,2)))</f>
        <v>#VALUE!</v>
      </c>
    </row>
    <row r="109" customFormat="false" ht="1.5" hidden="false" customHeight="true" outlineLevel="0" collapsed="false">
      <c r="A109" s="18"/>
      <c r="B109" s="18"/>
      <c r="C109" s="18"/>
      <c r="D109" s="18"/>
    </row>
    <row r="110" customFormat="false" ht="15.75" hidden="false" customHeight="true" outlineLevel="0" collapsed="false">
      <c r="A110" s="43" t="s">
        <v>149</v>
      </c>
      <c r="B110" s="18"/>
      <c r="C110" s="18"/>
      <c r="D110" s="18"/>
    </row>
    <row r="111" customFormat="false" ht="18" hidden="false" customHeight="true" outlineLevel="0" collapsed="false">
      <c r="A111" s="37"/>
      <c r="B111" s="37"/>
      <c r="C111" s="37"/>
      <c r="D111" s="37"/>
    </row>
    <row r="112" customFormat="false" ht="18" hidden="false" customHeight="true" outlineLevel="0" collapsed="false">
      <c r="A112" s="37"/>
      <c r="B112" s="37"/>
      <c r="C112" s="37"/>
      <c r="D112" s="37"/>
    </row>
    <row r="113" customFormat="false" ht="3" hidden="false" customHeight="true" outlineLevel="0" collapsed="false">
      <c r="A113" s="18"/>
      <c r="B113" s="18"/>
      <c r="C113" s="18"/>
      <c r="D113" s="18"/>
    </row>
    <row r="114" customFormat="false" ht="12" hidden="false" customHeight="true" outlineLevel="0" collapsed="false">
      <c r="A114" s="18"/>
      <c r="B114" s="18"/>
      <c r="C114" s="18"/>
      <c r="D114" s="18"/>
    </row>
    <row r="115" customFormat="false" ht="8.25" hidden="false" customHeight="true" outlineLevel="0" collapsed="false">
      <c r="A115" s="44" t="s">
        <v>150</v>
      </c>
      <c r="B115" s="18"/>
      <c r="C115" s="44" t="s">
        <v>150</v>
      </c>
      <c r="D115" s="18"/>
    </row>
    <row r="116" customFormat="false" ht="13.5" hidden="false" customHeight="true" outlineLevel="0" collapsed="false">
      <c r="A116" s="44" t="s">
        <v>151</v>
      </c>
      <c r="B116" s="18"/>
      <c r="C116" s="44" t="s">
        <v>152</v>
      </c>
      <c r="D116" s="18"/>
    </row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</sheetData>
  <mergeCells count="8">
    <mergeCell ref="A8:D8"/>
    <mergeCell ref="A10:B10"/>
    <mergeCell ref="C10:D10"/>
    <mergeCell ref="A11:B11"/>
    <mergeCell ref="C11:D11"/>
    <mergeCell ref="A12:B12"/>
    <mergeCell ref="A111:D111"/>
    <mergeCell ref="A112:D112"/>
  </mergeCells>
  <conditionalFormatting sqref="D15:D76">
    <cfRule type="cellIs" priority="2" operator="greaterThan" aboveAverage="0" equalAverage="0" bottom="0" percent="0" rank="0" text="" dxfId="10">
      <formula>B15</formula>
    </cfRule>
  </conditionalFormatting>
  <dataValidations count="1">
    <dataValidation allowBlank="true" errorStyle="stop" operator="equal" showDropDown="false" showErrorMessage="false" showInputMessage="false" sqref="B81:B86 C90:C105" type="list">
      <formula1>"Sí,No"</formula1>
      <formula2>0</formula2>
    </dataValidation>
  </dataValidations>
  <printOptions headings="false" gridLines="false" gridLinesSet="true" horizontalCentered="true" verticalCentered="false"/>
  <pageMargins left="0.39375" right="0.39375" top="0.196527777777778" bottom="0.196527777777778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86"/>
  <sheetViews>
    <sheetView showFormulas="false" showGridLines="false" showRowColHeaders="true" showZeros="true" rightToLeft="false" tabSelected="false" showOutlineSymbols="true" defaultGridColor="true" view="normal" topLeftCell="A50" colorId="64" zoomScale="100" zoomScaleNormal="100" zoomScalePageLayoutView="100" workbookViewId="0">
      <selection pane="topLeft" activeCell="D74" activeCellId="0" sqref="D74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87.43"/>
    <col collapsed="false" customWidth="true" hidden="false" outlineLevel="0" max="2" min="2" style="1" width="11"/>
    <col collapsed="false" customWidth="true" hidden="false" outlineLevel="0" max="3" min="3" style="1" width="34"/>
    <col collapsed="false" customWidth="true" hidden="false" outlineLevel="0" max="4" min="4" style="1" width="11"/>
    <col collapsed="false" customWidth="true" hidden="false" outlineLevel="0" max="26" min="5" style="1" width="8.71"/>
  </cols>
  <sheetData>
    <row r="1" customFormat="false" ht="13.8" hidden="false" customHeight="false" outlineLevel="0" collapsed="false">
      <c r="A1" s="17" t="s">
        <v>41</v>
      </c>
      <c r="B1" s="18"/>
      <c r="C1" s="18"/>
      <c r="D1" s="18"/>
    </row>
    <row r="2" customFormat="false" ht="13.8" hidden="false" customHeight="false" outlineLevel="0" collapsed="false">
      <c r="A2" s="17" t="s">
        <v>42</v>
      </c>
      <c r="B2" s="18"/>
      <c r="C2" s="18"/>
      <c r="D2" s="18"/>
    </row>
    <row r="3" customFormat="false" ht="13.8" hidden="false" customHeight="false" outlineLevel="0" collapsed="false">
      <c r="A3" s="17" t="s">
        <v>43</v>
      </c>
      <c r="B3" s="18"/>
      <c r="C3" s="18"/>
      <c r="D3" s="18"/>
    </row>
    <row r="4" customFormat="false" ht="13.8" hidden="false" customHeight="false" outlineLevel="0" collapsed="false">
      <c r="A4" s="17" t="s">
        <v>44</v>
      </c>
      <c r="B4" s="18"/>
      <c r="C4" s="18"/>
      <c r="D4" s="18"/>
    </row>
    <row r="5" customFormat="false" ht="13.8" hidden="false" customHeight="false" outlineLevel="0" collapsed="false">
      <c r="A5" s="17" t="s">
        <v>45</v>
      </c>
      <c r="B5" s="18"/>
      <c r="C5" s="18"/>
      <c r="D5" s="18"/>
    </row>
    <row r="6" customFormat="false" ht="13.8" hidden="false" customHeight="false" outlineLevel="0" collapsed="false">
      <c r="A6" s="17" t="s">
        <v>46</v>
      </c>
      <c r="B6" s="18"/>
      <c r="C6" s="18"/>
      <c r="D6" s="18"/>
    </row>
    <row r="7" customFormat="false" ht="13.8" hidden="false" customHeight="false" outlineLevel="0" collapsed="false">
      <c r="A7" s="17"/>
      <c r="B7" s="18"/>
      <c r="C7" s="18"/>
      <c r="D7" s="18"/>
    </row>
    <row r="8" customFormat="false" ht="13.8" hidden="false" customHeight="false" outlineLevel="0" collapsed="false">
      <c r="A8" s="19" t="s">
        <v>47</v>
      </c>
      <c r="B8" s="19"/>
      <c r="C8" s="19"/>
      <c r="D8" s="19"/>
    </row>
    <row r="9" customFormat="false" ht="13.8" hidden="false" customHeight="false" outlineLevel="0" collapsed="false">
      <c r="A9" s="20"/>
      <c r="B9" s="20"/>
      <c r="C9" s="20"/>
      <c r="D9" s="20"/>
    </row>
    <row r="10" customFormat="false" ht="13.8" hidden="false" customHeight="false" outlineLevel="0" collapsed="false">
      <c r="A10" s="21" t="s">
        <v>48</v>
      </c>
      <c r="B10" s="21"/>
      <c r="C10" s="22"/>
      <c r="D10" s="22"/>
    </row>
    <row r="11" customFormat="false" ht="13.8" hidden="false" customHeight="false" outlineLevel="0" collapsed="false">
      <c r="A11" s="21" t="s">
        <v>49</v>
      </c>
      <c r="B11" s="21"/>
      <c r="C11" s="23" t="str">
        <f aca="false">VLOOKUP(C12, Consolidado!$B$3:$C$26, 2, 0)</f>
        <v>CHUNG MIN KIM CHEN</v>
      </c>
      <c r="D11" s="23"/>
    </row>
    <row r="12" customFormat="false" ht="13.8" hidden="false" customHeight="false" outlineLevel="0" collapsed="false">
      <c r="A12" s="21" t="s">
        <v>50</v>
      </c>
      <c r="B12" s="21"/>
      <c r="C12" s="45" t="n">
        <v>202501625</v>
      </c>
      <c r="D12" s="23"/>
    </row>
    <row r="13" customFormat="false" ht="13.8" hidden="false" customHeight="false" outlineLevel="0" collapsed="false">
      <c r="A13" s="18"/>
      <c r="B13" s="18"/>
      <c r="C13" s="18"/>
      <c r="D13" s="18"/>
    </row>
    <row r="14" customFormat="false" ht="19.5" hidden="false" customHeight="true" outlineLevel="0" collapsed="false">
      <c r="A14" s="24" t="s">
        <v>51</v>
      </c>
      <c r="B14" s="24" t="s">
        <v>52</v>
      </c>
      <c r="C14" s="24" t="s">
        <v>53</v>
      </c>
      <c r="D14" s="24" t="s">
        <v>54</v>
      </c>
    </row>
    <row r="15" customFormat="false" ht="19.5" hidden="false" customHeight="true" outlineLevel="0" collapsed="false">
      <c r="A15" s="25" t="s">
        <v>55</v>
      </c>
      <c r="B15" s="26" t="n">
        <f aca="false">B16+B21+B25</f>
        <v>20</v>
      </c>
      <c r="C15" s="25"/>
      <c r="D15" s="27" t="n">
        <f aca="false">IF(D16+D21+D25=0,"",D16+D21+D25)</f>
        <v>20</v>
      </c>
    </row>
    <row r="16" customFormat="false" ht="18" hidden="false" customHeight="true" outlineLevel="0" collapsed="false">
      <c r="A16" s="28" t="s">
        <v>56</v>
      </c>
      <c r="B16" s="29" t="n">
        <f aca="false">SUM(B17:B20)</f>
        <v>8</v>
      </c>
      <c r="C16" s="28"/>
      <c r="D16" s="30" t="n">
        <f aca="false">SUM(D17:D20)</f>
        <v>8</v>
      </c>
    </row>
    <row r="17" customFormat="false" ht="15" hidden="false" customHeight="true" outlineLevel="0" collapsed="false">
      <c r="A17" s="31" t="s">
        <v>57</v>
      </c>
      <c r="B17" s="32" t="n">
        <v>2</v>
      </c>
      <c r="C17" s="31"/>
      <c r="D17" s="33" t="n">
        <v>2</v>
      </c>
    </row>
    <row r="18" customFormat="false" ht="15" hidden="false" customHeight="true" outlineLevel="0" collapsed="false">
      <c r="A18" s="31" t="s">
        <v>58</v>
      </c>
      <c r="B18" s="32" t="n">
        <v>2</v>
      </c>
      <c r="C18" s="31"/>
      <c r="D18" s="33" t="n">
        <v>2</v>
      </c>
    </row>
    <row r="19" customFormat="false" ht="15" hidden="false" customHeight="true" outlineLevel="0" collapsed="false">
      <c r="A19" s="31" t="s">
        <v>59</v>
      </c>
      <c r="B19" s="32" t="n">
        <v>2</v>
      </c>
      <c r="C19" s="31"/>
      <c r="D19" s="33" t="n">
        <v>2</v>
      </c>
    </row>
    <row r="20" customFormat="false" ht="15" hidden="false" customHeight="true" outlineLevel="0" collapsed="false">
      <c r="A20" s="31" t="s">
        <v>60</v>
      </c>
      <c r="B20" s="32" t="n">
        <v>2</v>
      </c>
      <c r="C20" s="31"/>
      <c r="D20" s="33" t="n">
        <v>2</v>
      </c>
    </row>
    <row r="21" customFormat="false" ht="18" hidden="false" customHeight="true" outlineLevel="0" collapsed="false">
      <c r="A21" s="28" t="s">
        <v>61</v>
      </c>
      <c r="B21" s="29" t="n">
        <f aca="false">SUM(B22:B24)</f>
        <v>6</v>
      </c>
      <c r="C21" s="28"/>
      <c r="D21" s="30" t="n">
        <f aca="false">SUM(D22:D24)</f>
        <v>6</v>
      </c>
    </row>
    <row r="22" customFormat="false" ht="15" hidden="false" customHeight="true" outlineLevel="0" collapsed="false">
      <c r="A22" s="31" t="s">
        <v>62</v>
      </c>
      <c r="B22" s="32" t="n">
        <v>2</v>
      </c>
      <c r="C22" s="31"/>
      <c r="D22" s="33" t="n">
        <v>2</v>
      </c>
    </row>
    <row r="23" customFormat="false" ht="15" hidden="false" customHeight="true" outlineLevel="0" collapsed="false">
      <c r="A23" s="31" t="s">
        <v>63</v>
      </c>
      <c r="B23" s="32" t="n">
        <v>2</v>
      </c>
      <c r="C23" s="31"/>
      <c r="D23" s="33" t="n">
        <v>2</v>
      </c>
    </row>
    <row r="24" customFormat="false" ht="15" hidden="false" customHeight="true" outlineLevel="0" collapsed="false">
      <c r="A24" s="31" t="s">
        <v>64</v>
      </c>
      <c r="B24" s="32" t="n">
        <v>2</v>
      </c>
      <c r="C24" s="31"/>
      <c r="D24" s="33" t="n">
        <v>2</v>
      </c>
    </row>
    <row r="25" customFormat="false" ht="18" hidden="false" customHeight="true" outlineLevel="0" collapsed="false">
      <c r="A25" s="28" t="s">
        <v>65</v>
      </c>
      <c r="B25" s="29" t="n">
        <f aca="false">SUM(B26:B28)</f>
        <v>6</v>
      </c>
      <c r="C25" s="28"/>
      <c r="D25" s="30" t="n">
        <f aca="false">SUM(D26:D28)</f>
        <v>6</v>
      </c>
    </row>
    <row r="26" customFormat="false" ht="16.5" hidden="false" customHeight="true" outlineLevel="0" collapsed="false">
      <c r="A26" s="31" t="s">
        <v>66</v>
      </c>
      <c r="B26" s="32" t="n">
        <v>2</v>
      </c>
      <c r="C26" s="31"/>
      <c r="D26" s="33" t="n">
        <v>2</v>
      </c>
    </row>
    <row r="27" customFormat="false" ht="15" hidden="false" customHeight="true" outlineLevel="0" collapsed="false">
      <c r="A27" s="31" t="s">
        <v>67</v>
      </c>
      <c r="B27" s="32" t="n">
        <v>2</v>
      </c>
      <c r="C27" s="31"/>
      <c r="D27" s="33" t="n">
        <v>2</v>
      </c>
    </row>
    <row r="28" customFormat="false" ht="15" hidden="false" customHeight="true" outlineLevel="0" collapsed="false">
      <c r="A28" s="31" t="s">
        <v>68</v>
      </c>
      <c r="B28" s="32" t="n">
        <v>2</v>
      </c>
      <c r="C28" s="31"/>
      <c r="D28" s="33" t="n">
        <v>2</v>
      </c>
    </row>
    <row r="29" customFormat="false" ht="19.5" hidden="false" customHeight="true" outlineLevel="0" collapsed="false">
      <c r="A29" s="25" t="s">
        <v>69</v>
      </c>
      <c r="B29" s="26" t="n">
        <f aca="false">B30+B34+B40+B44+B49+B53+B58+B63</f>
        <v>55</v>
      </c>
      <c r="C29" s="25"/>
      <c r="D29" s="27" t="n">
        <f aca="false">IF(D30+D34+D40+D44+D49+D53+D58+D63=0,"",D30+D34+D40+D44+D49+D53+D58+D63)</f>
        <v>51</v>
      </c>
    </row>
    <row r="30" customFormat="false" ht="18" hidden="false" customHeight="true" outlineLevel="0" collapsed="false">
      <c r="A30" s="28" t="s">
        <v>70</v>
      </c>
      <c r="B30" s="29" t="n">
        <f aca="false">SUM(B31:B33)</f>
        <v>5</v>
      </c>
      <c r="C30" s="28"/>
      <c r="D30" s="30" t="n">
        <f aca="false">SUM(D31:D33)</f>
        <v>3</v>
      </c>
    </row>
    <row r="31" customFormat="false" ht="15" hidden="false" customHeight="true" outlineLevel="0" collapsed="false">
      <c r="A31" s="31" t="s">
        <v>71</v>
      </c>
      <c r="B31" s="32" t="n">
        <v>2</v>
      </c>
      <c r="C31" s="31"/>
      <c r="D31" s="33" t="n">
        <v>2</v>
      </c>
    </row>
    <row r="32" customFormat="false" ht="15" hidden="false" customHeight="true" outlineLevel="0" collapsed="false">
      <c r="A32" s="31" t="s">
        <v>72</v>
      </c>
      <c r="B32" s="32" t="n">
        <v>2</v>
      </c>
      <c r="C32" s="31"/>
      <c r="D32" s="33" t="n">
        <v>1</v>
      </c>
    </row>
    <row r="33" customFormat="false" ht="15" hidden="false" customHeight="true" outlineLevel="0" collapsed="false">
      <c r="A33" s="31" t="s">
        <v>73</v>
      </c>
      <c r="B33" s="32" t="n">
        <v>1</v>
      </c>
      <c r="C33" s="31"/>
      <c r="D33" s="33" t="n">
        <v>0</v>
      </c>
    </row>
    <row r="34" customFormat="false" ht="18" hidden="false" customHeight="true" outlineLevel="0" collapsed="false">
      <c r="A34" s="28" t="s">
        <v>74</v>
      </c>
      <c r="B34" s="29" t="n">
        <f aca="false">SUM(B35:B39)</f>
        <v>10</v>
      </c>
      <c r="C34" s="28"/>
      <c r="D34" s="30" t="n">
        <f aca="false">SUM(D35:D39)</f>
        <v>10</v>
      </c>
    </row>
    <row r="35" customFormat="false" ht="15" hidden="false" customHeight="true" outlineLevel="0" collapsed="false">
      <c r="A35" s="31" t="s">
        <v>75</v>
      </c>
      <c r="B35" s="32" t="n">
        <v>3</v>
      </c>
      <c r="C35" s="31"/>
      <c r="D35" s="33" t="n">
        <v>3</v>
      </c>
    </row>
    <row r="36" customFormat="false" ht="15" hidden="false" customHeight="true" outlineLevel="0" collapsed="false">
      <c r="A36" s="31" t="s">
        <v>76</v>
      </c>
      <c r="B36" s="32" t="n">
        <v>2</v>
      </c>
      <c r="C36" s="31"/>
      <c r="D36" s="33" t="n">
        <v>2</v>
      </c>
    </row>
    <row r="37" customFormat="false" ht="15" hidden="false" customHeight="true" outlineLevel="0" collapsed="false">
      <c r="A37" s="31" t="s">
        <v>77</v>
      </c>
      <c r="B37" s="32" t="n">
        <v>2</v>
      </c>
      <c r="C37" s="31"/>
      <c r="D37" s="33" t="n">
        <v>2</v>
      </c>
    </row>
    <row r="38" customFormat="false" ht="15" hidden="false" customHeight="true" outlineLevel="0" collapsed="false">
      <c r="A38" s="31" t="s">
        <v>78</v>
      </c>
      <c r="B38" s="32" t="n">
        <v>1</v>
      </c>
      <c r="C38" s="31"/>
      <c r="D38" s="33" t="n">
        <v>1</v>
      </c>
    </row>
    <row r="39" customFormat="false" ht="15" hidden="false" customHeight="true" outlineLevel="0" collapsed="false">
      <c r="A39" s="31" t="s">
        <v>79</v>
      </c>
      <c r="B39" s="32" t="n">
        <v>2</v>
      </c>
      <c r="C39" s="31"/>
      <c r="D39" s="33" t="n">
        <v>2</v>
      </c>
    </row>
    <row r="40" customFormat="false" ht="18" hidden="false" customHeight="true" outlineLevel="0" collapsed="false">
      <c r="A40" s="28" t="s">
        <v>80</v>
      </c>
      <c r="B40" s="29" t="n">
        <f aca="false">SUM(B41:B43)</f>
        <v>6</v>
      </c>
      <c r="C40" s="28"/>
      <c r="D40" s="30" t="n">
        <f aca="false">SUM(D41:D43)</f>
        <v>6</v>
      </c>
    </row>
    <row r="41" customFormat="false" ht="15" hidden="false" customHeight="true" outlineLevel="0" collapsed="false">
      <c r="A41" s="31" t="s">
        <v>81</v>
      </c>
      <c r="B41" s="32" t="n">
        <v>2</v>
      </c>
      <c r="C41" s="31"/>
      <c r="D41" s="33" t="n">
        <v>2</v>
      </c>
    </row>
    <row r="42" customFormat="false" ht="15" hidden="false" customHeight="true" outlineLevel="0" collapsed="false">
      <c r="A42" s="31" t="s">
        <v>82</v>
      </c>
      <c r="B42" s="32" t="n">
        <v>2</v>
      </c>
      <c r="C42" s="31"/>
      <c r="D42" s="33" t="n">
        <v>2</v>
      </c>
    </row>
    <row r="43" customFormat="false" ht="15" hidden="false" customHeight="true" outlineLevel="0" collapsed="false">
      <c r="A43" s="31" t="s">
        <v>83</v>
      </c>
      <c r="B43" s="32" t="n">
        <v>2</v>
      </c>
      <c r="C43" s="31"/>
      <c r="D43" s="33" t="n">
        <v>2</v>
      </c>
    </row>
    <row r="44" customFormat="false" ht="18" hidden="false" customHeight="true" outlineLevel="0" collapsed="false">
      <c r="A44" s="28" t="s">
        <v>84</v>
      </c>
      <c r="B44" s="29" t="n">
        <f aca="false">SUM(B45:B48)</f>
        <v>8</v>
      </c>
      <c r="C44" s="28"/>
      <c r="D44" s="30" t="n">
        <f aca="false">SUM(D45:D48)</f>
        <v>8</v>
      </c>
    </row>
    <row r="45" customFormat="false" ht="15" hidden="false" customHeight="true" outlineLevel="0" collapsed="false">
      <c r="A45" s="31" t="s">
        <v>85</v>
      </c>
      <c r="B45" s="32" t="n">
        <v>2</v>
      </c>
      <c r="C45" s="31"/>
      <c r="D45" s="33" t="n">
        <v>2</v>
      </c>
    </row>
    <row r="46" customFormat="false" ht="15" hidden="false" customHeight="true" outlineLevel="0" collapsed="false">
      <c r="A46" s="31" t="s">
        <v>86</v>
      </c>
      <c r="B46" s="32" t="n">
        <v>3</v>
      </c>
      <c r="C46" s="31"/>
      <c r="D46" s="33" t="n">
        <v>3</v>
      </c>
    </row>
    <row r="47" customFormat="false" ht="15" hidden="false" customHeight="true" outlineLevel="0" collapsed="false">
      <c r="A47" s="31" t="s">
        <v>87</v>
      </c>
      <c r="B47" s="32" t="n">
        <v>2</v>
      </c>
      <c r="C47" s="31"/>
      <c r="D47" s="33" t="n">
        <v>2</v>
      </c>
    </row>
    <row r="48" customFormat="false" ht="15" hidden="false" customHeight="true" outlineLevel="0" collapsed="false">
      <c r="A48" s="31" t="s">
        <v>88</v>
      </c>
      <c r="B48" s="32" t="n">
        <v>1</v>
      </c>
      <c r="C48" s="31"/>
      <c r="D48" s="33" t="n">
        <v>1</v>
      </c>
    </row>
    <row r="49" customFormat="false" ht="18" hidden="false" customHeight="true" outlineLevel="0" collapsed="false">
      <c r="A49" s="28" t="s">
        <v>89</v>
      </c>
      <c r="B49" s="29" t="n">
        <f aca="false">SUM(B50:B52)</f>
        <v>6</v>
      </c>
      <c r="C49" s="28"/>
      <c r="D49" s="30" t="n">
        <f aca="false">SUM(D50:D52)</f>
        <v>6</v>
      </c>
    </row>
    <row r="50" customFormat="false" ht="15" hidden="false" customHeight="true" outlineLevel="0" collapsed="false">
      <c r="A50" s="31" t="s">
        <v>90</v>
      </c>
      <c r="B50" s="32" t="n">
        <v>2</v>
      </c>
      <c r="C50" s="31"/>
      <c r="D50" s="33" t="n">
        <v>2</v>
      </c>
    </row>
    <row r="51" customFormat="false" ht="15" hidden="false" customHeight="true" outlineLevel="0" collapsed="false">
      <c r="A51" s="31" t="s">
        <v>91</v>
      </c>
      <c r="B51" s="32" t="n">
        <v>2</v>
      </c>
      <c r="C51" s="31"/>
      <c r="D51" s="33" t="n">
        <v>2</v>
      </c>
    </row>
    <row r="52" customFormat="false" ht="15" hidden="false" customHeight="true" outlineLevel="0" collapsed="false">
      <c r="A52" s="31" t="s">
        <v>92</v>
      </c>
      <c r="B52" s="32" t="n">
        <v>2</v>
      </c>
      <c r="C52" s="31"/>
      <c r="D52" s="33" t="n">
        <v>2</v>
      </c>
    </row>
    <row r="53" customFormat="false" ht="18" hidden="false" customHeight="true" outlineLevel="0" collapsed="false">
      <c r="A53" s="28" t="s">
        <v>93</v>
      </c>
      <c r="B53" s="29" t="n">
        <f aca="false">SUM(B54:B57)</f>
        <v>8</v>
      </c>
      <c r="C53" s="28"/>
      <c r="D53" s="30" t="n">
        <f aca="false">SUM(D54:D57)</f>
        <v>8</v>
      </c>
    </row>
    <row r="54" customFormat="false" ht="15" hidden="false" customHeight="true" outlineLevel="0" collapsed="false">
      <c r="A54" s="31" t="s">
        <v>94</v>
      </c>
      <c r="B54" s="32" t="n">
        <v>2</v>
      </c>
      <c r="C54" s="31"/>
      <c r="D54" s="33" t="n">
        <v>2</v>
      </c>
    </row>
    <row r="55" customFormat="false" ht="15" hidden="false" customHeight="true" outlineLevel="0" collapsed="false">
      <c r="A55" s="31" t="s">
        <v>95</v>
      </c>
      <c r="B55" s="32" t="n">
        <v>3</v>
      </c>
      <c r="C55" s="31"/>
      <c r="D55" s="33" t="n">
        <v>3</v>
      </c>
    </row>
    <row r="56" customFormat="false" ht="15" hidden="false" customHeight="true" outlineLevel="0" collapsed="false">
      <c r="A56" s="31" t="s">
        <v>96</v>
      </c>
      <c r="B56" s="32" t="n">
        <v>2</v>
      </c>
      <c r="C56" s="31"/>
      <c r="D56" s="33" t="n">
        <v>2</v>
      </c>
    </row>
    <row r="57" customFormat="false" ht="15" hidden="false" customHeight="true" outlineLevel="0" collapsed="false">
      <c r="A57" s="31" t="s">
        <v>97</v>
      </c>
      <c r="B57" s="32" t="n">
        <v>1</v>
      </c>
      <c r="C57" s="31"/>
      <c r="D57" s="33" t="n">
        <v>1</v>
      </c>
    </row>
    <row r="58" customFormat="false" ht="18" hidden="false" customHeight="true" outlineLevel="0" collapsed="false">
      <c r="A58" s="28" t="s">
        <v>98</v>
      </c>
      <c r="B58" s="29" t="n">
        <f aca="false">SUM(B59:B62)</f>
        <v>6</v>
      </c>
      <c r="C58" s="28"/>
      <c r="D58" s="30" t="n">
        <f aca="false">SUM(D59:D62)</f>
        <v>4</v>
      </c>
    </row>
    <row r="59" customFormat="false" ht="15" hidden="false" customHeight="true" outlineLevel="0" collapsed="false">
      <c r="A59" s="31" t="s">
        <v>99</v>
      </c>
      <c r="B59" s="32" t="n">
        <v>2</v>
      </c>
      <c r="C59" s="31"/>
      <c r="D59" s="33" t="n">
        <v>2</v>
      </c>
    </row>
    <row r="60" customFormat="false" ht="15" hidden="false" customHeight="true" outlineLevel="0" collapsed="false">
      <c r="A60" s="31" t="s">
        <v>100</v>
      </c>
      <c r="B60" s="32" t="n">
        <v>2</v>
      </c>
      <c r="C60" s="31"/>
      <c r="D60" s="33" t="n">
        <v>1</v>
      </c>
    </row>
    <row r="61" customFormat="false" ht="15" hidden="false" customHeight="true" outlineLevel="0" collapsed="false">
      <c r="A61" s="31" t="s">
        <v>101</v>
      </c>
      <c r="B61" s="32" t="n">
        <v>1</v>
      </c>
      <c r="C61" s="31"/>
      <c r="D61" s="33" t="n">
        <v>0</v>
      </c>
    </row>
    <row r="62" customFormat="false" ht="15" hidden="false" customHeight="true" outlineLevel="0" collapsed="false">
      <c r="A62" s="31" t="s">
        <v>102</v>
      </c>
      <c r="B62" s="32" t="n">
        <v>1</v>
      </c>
      <c r="C62" s="31"/>
      <c r="D62" s="33" t="n">
        <v>1</v>
      </c>
    </row>
    <row r="63" customFormat="false" ht="15" hidden="false" customHeight="true" outlineLevel="0" collapsed="false">
      <c r="A63" s="28" t="s">
        <v>103</v>
      </c>
      <c r="B63" s="29" t="n">
        <f aca="false">SUM(B64:B65)</f>
        <v>6</v>
      </c>
      <c r="C63" s="28"/>
      <c r="D63" s="30" t="n">
        <f aca="false">SUM(D64:D65)</f>
        <v>6</v>
      </c>
    </row>
    <row r="64" customFormat="false" ht="15" hidden="false" customHeight="true" outlineLevel="0" collapsed="false">
      <c r="A64" s="31" t="s">
        <v>104</v>
      </c>
      <c r="B64" s="32" t="n">
        <v>3</v>
      </c>
      <c r="C64" s="31"/>
      <c r="D64" s="33" t="n">
        <v>3</v>
      </c>
    </row>
    <row r="65" customFormat="false" ht="15" hidden="false" customHeight="true" outlineLevel="0" collapsed="false">
      <c r="A65" s="31" t="s">
        <v>105</v>
      </c>
      <c r="B65" s="32" t="n">
        <v>3</v>
      </c>
      <c r="C65" s="31"/>
      <c r="D65" s="33" t="n">
        <v>3</v>
      </c>
    </row>
    <row r="66" customFormat="false" ht="19.5" hidden="false" customHeight="true" outlineLevel="0" collapsed="false">
      <c r="A66" s="25" t="s">
        <v>106</v>
      </c>
      <c r="B66" s="26" t="n">
        <f aca="false">B67+B73</f>
        <v>25</v>
      </c>
      <c r="C66" s="25"/>
      <c r="D66" s="27" t="n">
        <f aca="false">IF(D67+D73=0,"",D67+D73)</f>
        <v>5</v>
      </c>
    </row>
    <row r="67" customFormat="false" ht="18" hidden="false" customHeight="true" outlineLevel="0" collapsed="false">
      <c r="A67" s="28" t="s">
        <v>107</v>
      </c>
      <c r="B67" s="29" t="n">
        <f aca="false">SUM(B68:B72)</f>
        <v>10</v>
      </c>
      <c r="C67" s="28"/>
      <c r="D67" s="30" t="n">
        <f aca="false">IF(SUM(D68:D72)=0,"",SUM(D68:D72))</f>
        <v>5</v>
      </c>
    </row>
    <row r="68" customFormat="false" ht="15" hidden="false" customHeight="true" outlineLevel="0" collapsed="false">
      <c r="A68" s="31" t="s">
        <v>108</v>
      </c>
      <c r="B68" s="32" t="n">
        <v>2</v>
      </c>
      <c r="C68" s="31"/>
      <c r="D68" s="33" t="n">
        <v>2</v>
      </c>
    </row>
    <row r="69" customFormat="false" ht="15" hidden="false" customHeight="true" outlineLevel="0" collapsed="false">
      <c r="A69" s="31" t="s">
        <v>109</v>
      </c>
      <c r="B69" s="32" t="n">
        <v>2</v>
      </c>
      <c r="C69" s="31"/>
      <c r="D69" s="33" t="n">
        <v>2</v>
      </c>
    </row>
    <row r="70" customFormat="false" ht="15" hidden="false" customHeight="true" outlineLevel="0" collapsed="false">
      <c r="A70" s="31" t="s">
        <v>110</v>
      </c>
      <c r="B70" s="32" t="n">
        <v>2</v>
      </c>
      <c r="C70" s="31"/>
      <c r="D70" s="33" t="n">
        <v>1</v>
      </c>
    </row>
    <row r="71" customFormat="false" ht="15" hidden="false" customHeight="true" outlineLevel="0" collapsed="false">
      <c r="A71" s="31" t="s">
        <v>111</v>
      </c>
      <c r="B71" s="32" t="n">
        <v>2</v>
      </c>
      <c r="C71" s="31"/>
      <c r="D71" s="33" t="n">
        <v>0</v>
      </c>
    </row>
    <row r="72" customFormat="false" ht="15" hidden="false" customHeight="true" outlineLevel="0" collapsed="false">
      <c r="A72" s="31" t="s">
        <v>112</v>
      </c>
      <c r="B72" s="32" t="n">
        <v>2</v>
      </c>
      <c r="C72" s="31"/>
      <c r="D72" s="33" t="n">
        <v>0</v>
      </c>
    </row>
    <row r="73" customFormat="false" ht="18" hidden="false" customHeight="true" outlineLevel="0" collapsed="false">
      <c r="A73" s="28" t="s">
        <v>113</v>
      </c>
      <c r="B73" s="29" t="n">
        <f aca="false">SUM(B74:B76)</f>
        <v>15</v>
      </c>
      <c r="C73" s="28"/>
      <c r="D73" s="30" t="n">
        <f aca="false">SUM(D74:D76)</f>
        <v>0</v>
      </c>
    </row>
    <row r="74" customFormat="false" ht="15" hidden="false" customHeight="true" outlineLevel="0" collapsed="false">
      <c r="A74" s="31" t="s">
        <v>114</v>
      </c>
      <c r="B74" s="32" t="n">
        <v>5</v>
      </c>
      <c r="C74" s="31"/>
      <c r="D74" s="33" t="n">
        <v>0</v>
      </c>
    </row>
    <row r="75" customFormat="false" ht="15" hidden="false" customHeight="true" outlineLevel="0" collapsed="false">
      <c r="A75" s="31" t="s">
        <v>115</v>
      </c>
      <c r="B75" s="32" t="n">
        <v>5</v>
      </c>
      <c r="C75" s="31"/>
      <c r="D75" s="33" t="n">
        <v>0</v>
      </c>
    </row>
    <row r="76" customFormat="false" ht="15" hidden="false" customHeight="true" outlineLevel="0" collapsed="false">
      <c r="A76" s="31" t="s">
        <v>116</v>
      </c>
      <c r="B76" s="32" t="n">
        <v>5</v>
      </c>
      <c r="C76" s="31"/>
      <c r="D76" s="33" t="n">
        <v>0</v>
      </c>
    </row>
    <row r="77" customFormat="false" ht="19.5" hidden="false" customHeight="true" outlineLevel="0" collapsed="false">
      <c r="A77" s="34" t="s">
        <v>117</v>
      </c>
      <c r="B77" s="35" t="n">
        <f aca="false">B15+B29+B66</f>
        <v>100</v>
      </c>
      <c r="C77" s="36"/>
      <c r="D77" s="16" t="n">
        <f aca="false">IF(D15+D29+D66=0,"",D15+D29+D66)</f>
        <v>76</v>
      </c>
    </row>
    <row r="78" customFormat="false" ht="1.5" hidden="false" customHeight="true" outlineLevel="0" collapsed="false">
      <c r="A78" s="18"/>
      <c r="B78" s="18"/>
      <c r="C78" s="18"/>
      <c r="D78" s="18"/>
    </row>
    <row r="79" customFormat="false" ht="15.75" hidden="false" customHeight="true" outlineLevel="0" collapsed="false">
      <c r="A79" s="17" t="s">
        <v>118</v>
      </c>
      <c r="B79" s="18"/>
      <c r="C79" s="18"/>
      <c r="D79" s="18"/>
    </row>
    <row r="80" customFormat="false" ht="15.75" hidden="false" customHeight="true" outlineLevel="0" collapsed="false">
      <c r="A80" s="24" t="s">
        <v>119</v>
      </c>
      <c r="B80" s="24" t="s">
        <v>120</v>
      </c>
      <c r="C80" s="24" t="s">
        <v>53</v>
      </c>
      <c r="D80" s="24"/>
    </row>
    <row r="81" customFormat="false" ht="15.75" hidden="false" customHeight="true" outlineLevel="0" collapsed="false">
      <c r="A81" s="31" t="s">
        <v>121</v>
      </c>
      <c r="B81" s="4"/>
      <c r="C81" s="37"/>
      <c r="D81" s="38"/>
    </row>
    <row r="82" customFormat="false" ht="15.75" hidden="false" customHeight="true" outlineLevel="0" collapsed="false">
      <c r="A82" s="31" t="s">
        <v>122</v>
      </c>
      <c r="B82" s="4"/>
      <c r="C82" s="37"/>
      <c r="D82" s="38"/>
    </row>
    <row r="83" customFormat="false" ht="15.75" hidden="false" customHeight="true" outlineLevel="0" collapsed="false">
      <c r="A83" s="31" t="s">
        <v>123</v>
      </c>
      <c r="B83" s="4"/>
      <c r="C83" s="37"/>
      <c r="D83" s="38"/>
    </row>
    <row r="84" customFormat="false" ht="15.75" hidden="false" customHeight="true" outlineLevel="0" collapsed="false">
      <c r="A84" s="31" t="s">
        <v>124</v>
      </c>
      <c r="B84" s="4"/>
      <c r="C84" s="37"/>
      <c r="D84" s="38"/>
    </row>
    <row r="85" customFormat="false" ht="15.75" hidden="false" customHeight="true" outlineLevel="0" collapsed="false">
      <c r="A85" s="31" t="s">
        <v>125</v>
      </c>
      <c r="B85" s="4"/>
      <c r="C85" s="37"/>
      <c r="D85" s="38"/>
    </row>
    <row r="86" customFormat="false" ht="15.75" hidden="false" customHeight="true" outlineLevel="0" collapsed="false">
      <c r="A86" s="31" t="s">
        <v>126</v>
      </c>
      <c r="B86" s="4"/>
      <c r="C86" s="37"/>
      <c r="D86" s="38"/>
    </row>
    <row r="87" customFormat="false" ht="1.5" hidden="false" customHeight="true" outlineLevel="0" collapsed="false">
      <c r="A87" s="18"/>
      <c r="B87" s="18"/>
      <c r="C87" s="18"/>
      <c r="D87" s="18"/>
    </row>
    <row r="88" customFormat="false" ht="15.75" hidden="false" customHeight="true" outlineLevel="0" collapsed="false">
      <c r="A88" s="17" t="s">
        <v>127</v>
      </c>
      <c r="B88" s="18"/>
      <c r="C88" s="18"/>
      <c r="D88" s="18"/>
    </row>
    <row r="89" customFormat="false" ht="15.75" hidden="false" customHeight="true" outlineLevel="0" collapsed="false">
      <c r="A89" s="24" t="s">
        <v>128</v>
      </c>
      <c r="B89" s="24" t="s">
        <v>8</v>
      </c>
      <c r="C89" s="24" t="s">
        <v>129</v>
      </c>
      <c r="D89" s="24" t="s">
        <v>130</v>
      </c>
    </row>
    <row r="90" customFormat="false" ht="15.75" hidden="false" customHeight="true" outlineLevel="0" collapsed="false">
      <c r="A90" s="31" t="s">
        <v>131</v>
      </c>
      <c r="B90" s="39" t="n">
        <v>-0.3</v>
      </c>
      <c r="C90" s="4"/>
      <c r="D90" s="8" t="str">
        <f aca="false">IF(C90="Sí",$D$77*B90,"")</f>
        <v/>
      </c>
    </row>
    <row r="91" customFormat="false" ht="15.75" hidden="false" customHeight="true" outlineLevel="0" collapsed="false">
      <c r="A91" s="31" t="s">
        <v>132</v>
      </c>
      <c r="B91" s="39" t="n">
        <v>-0.2</v>
      </c>
      <c r="C91" s="4"/>
      <c r="D91" s="8" t="str">
        <f aca="false">IF(C91="Sí",$D$77*B91,"")</f>
        <v/>
      </c>
    </row>
    <row r="92" customFormat="false" ht="15.75" hidden="false" customHeight="true" outlineLevel="0" collapsed="false">
      <c r="A92" s="31" t="s">
        <v>133</v>
      </c>
      <c r="B92" s="39" t="n">
        <v>-1</v>
      </c>
      <c r="C92" s="4"/>
      <c r="D92" s="8" t="str">
        <f aca="false">IF(C92="Sí",$D$77*B92,"")</f>
        <v/>
      </c>
    </row>
    <row r="93" customFormat="false" ht="15.75" hidden="false" customHeight="true" outlineLevel="0" collapsed="false">
      <c r="A93" s="31" t="s">
        <v>134</v>
      </c>
      <c r="B93" s="39" t="n">
        <v>-0.2</v>
      </c>
      <c r="C93" s="4"/>
      <c r="D93" s="8" t="str">
        <f aca="false">IF(C93="Sí",$D$77*B93,"")</f>
        <v/>
      </c>
    </row>
    <row r="94" customFormat="false" ht="15.75" hidden="false" customHeight="true" outlineLevel="0" collapsed="false">
      <c r="A94" s="31" t="s">
        <v>135</v>
      </c>
      <c r="B94" s="39" t="n">
        <v>-1</v>
      </c>
      <c r="C94" s="4"/>
      <c r="D94" s="8" t="str">
        <f aca="false">IF(C94="Sí",$D$77*B94,"")</f>
        <v/>
      </c>
    </row>
    <row r="95" customFormat="false" ht="15.75" hidden="false" customHeight="true" outlineLevel="0" collapsed="false">
      <c r="A95" s="31" t="s">
        <v>136</v>
      </c>
      <c r="B95" s="39" t="n">
        <v>-0.75</v>
      </c>
      <c r="C95" s="4"/>
      <c r="D95" s="8" t="str">
        <f aca="false">IF(C95="Sí",$D$77*B95,"")</f>
        <v/>
      </c>
    </row>
    <row r="96" customFormat="false" ht="15.75" hidden="false" customHeight="true" outlineLevel="0" collapsed="false">
      <c r="A96" s="31" t="s">
        <v>137</v>
      </c>
      <c r="B96" s="39" t="n">
        <v>-0.75</v>
      </c>
      <c r="C96" s="4"/>
      <c r="D96" s="8" t="str">
        <f aca="false">IF(C96="Sí",$D$77*B96,"")</f>
        <v/>
      </c>
    </row>
    <row r="97" customFormat="false" ht="15.75" hidden="false" customHeight="true" outlineLevel="0" collapsed="false">
      <c r="A97" s="31" t="s">
        <v>138</v>
      </c>
      <c r="B97" s="39" t="n">
        <v>-1</v>
      </c>
      <c r="C97" s="4"/>
      <c r="D97" s="8" t="str">
        <f aca="false">IF(C97="Sí",$D$77*B97,"")</f>
        <v/>
      </c>
    </row>
    <row r="98" customFormat="false" ht="15.75" hidden="false" customHeight="true" outlineLevel="0" collapsed="false">
      <c r="A98" s="31" t="s">
        <v>139</v>
      </c>
      <c r="B98" s="39" t="n">
        <v>-0.5</v>
      </c>
      <c r="C98" s="4"/>
      <c r="D98" s="8" t="str">
        <f aca="false">IF(C98="Sí",$D$77*B98,"")</f>
        <v/>
      </c>
    </row>
    <row r="99" customFormat="false" ht="15.75" hidden="false" customHeight="true" outlineLevel="0" collapsed="false">
      <c r="A99" s="31" t="s">
        <v>140</v>
      </c>
      <c r="B99" s="39" t="n">
        <v>-1</v>
      </c>
      <c r="C99" s="4"/>
      <c r="D99" s="8" t="str">
        <f aca="false">IF(C99="Sí",$D$77*B99,"")</f>
        <v/>
      </c>
    </row>
    <row r="100" customFormat="false" ht="15.75" hidden="false" customHeight="true" outlineLevel="0" collapsed="false">
      <c r="A100" s="31" t="s">
        <v>141</v>
      </c>
      <c r="B100" s="39" t="n">
        <v>-1</v>
      </c>
      <c r="C100" s="4"/>
      <c r="D100" s="8" t="str">
        <f aca="false">IF(C100="Sí",$D$77*B100,"")</f>
        <v/>
      </c>
    </row>
    <row r="101" customFormat="false" ht="15.75" hidden="false" customHeight="true" outlineLevel="0" collapsed="false">
      <c r="A101" s="31" t="s">
        <v>142</v>
      </c>
      <c r="B101" s="39" t="n">
        <v>-0.25</v>
      </c>
      <c r="C101" s="4"/>
      <c r="D101" s="8" t="str">
        <f aca="false">IF(C101="Sí",$D$77*B101,"")</f>
        <v/>
      </c>
    </row>
    <row r="102" customFormat="false" ht="15.75" hidden="false" customHeight="true" outlineLevel="0" collapsed="false">
      <c r="A102" s="31" t="s">
        <v>143</v>
      </c>
      <c r="B102" s="39" t="n">
        <v>-1</v>
      </c>
      <c r="C102" s="4"/>
      <c r="D102" s="8" t="str">
        <f aca="false">IF(C102="Sí",$D$77*B102,"")</f>
        <v/>
      </c>
    </row>
    <row r="103" customFormat="false" ht="15.75" hidden="false" customHeight="true" outlineLevel="0" collapsed="false">
      <c r="A103" s="31" t="s">
        <v>144</v>
      </c>
      <c r="B103" s="39" t="n">
        <v>-1</v>
      </c>
      <c r="C103" s="4"/>
      <c r="D103" s="8" t="str">
        <f aca="false">IF(C103="Sí",$D$77*B103,"")</f>
        <v/>
      </c>
    </row>
    <row r="104" customFormat="false" ht="15.75" hidden="false" customHeight="true" outlineLevel="0" collapsed="false">
      <c r="A104" s="31" t="s">
        <v>145</v>
      </c>
      <c r="B104" s="39" t="n">
        <v>-1</v>
      </c>
      <c r="C104" s="4"/>
      <c r="D104" s="8" t="str">
        <f aca="false">IF(C104="Sí",$D$77*B104,"")</f>
        <v/>
      </c>
    </row>
    <row r="105" customFormat="false" ht="15.75" hidden="false" customHeight="true" outlineLevel="0" collapsed="false">
      <c r="A105" s="31" t="s">
        <v>146</v>
      </c>
      <c r="B105" s="39" t="n">
        <v>-1</v>
      </c>
      <c r="C105" s="4"/>
      <c r="D105" s="8" t="str">
        <f aca="false">IF(C105="Sí",$D$77*B105,"")</f>
        <v/>
      </c>
    </row>
    <row r="106" customFormat="false" ht="15.75" hidden="false" customHeight="true" outlineLevel="0" collapsed="false">
      <c r="A106" s="34" t="s">
        <v>147</v>
      </c>
      <c r="B106" s="36"/>
      <c r="C106" s="36"/>
      <c r="D106" s="16" t="str">
        <f aca="false">IF(SUM(D90:D105)=0,"",SUM(D90:D105))</f>
        <v/>
      </c>
    </row>
    <row r="107" customFormat="false" ht="1.5" hidden="false" customHeight="true" outlineLevel="0" collapsed="false">
      <c r="A107" s="18"/>
      <c r="B107" s="18"/>
      <c r="C107" s="18"/>
      <c r="D107" s="18"/>
    </row>
    <row r="108" customFormat="false" ht="21.75" hidden="false" customHeight="true" outlineLevel="0" collapsed="false">
      <c r="A108" s="40" t="s">
        <v>148</v>
      </c>
      <c r="B108" s="41"/>
      <c r="C108" s="41"/>
      <c r="D108" s="42" t="e">
        <f aca="false">IF(MAX(0,ROUND($D$77+$D$106,2))=0,"",MAX(0,ROUND($D$77+$D$106,2)))</f>
        <v>#VALUE!</v>
      </c>
    </row>
    <row r="109" customFormat="false" ht="1.5" hidden="false" customHeight="true" outlineLevel="0" collapsed="false">
      <c r="A109" s="18"/>
      <c r="B109" s="18"/>
      <c r="C109" s="18"/>
      <c r="D109" s="18"/>
    </row>
    <row r="110" customFormat="false" ht="15.75" hidden="false" customHeight="true" outlineLevel="0" collapsed="false">
      <c r="A110" s="43" t="s">
        <v>149</v>
      </c>
      <c r="B110" s="18"/>
      <c r="C110" s="18"/>
      <c r="D110" s="18"/>
    </row>
    <row r="111" customFormat="false" ht="18" hidden="false" customHeight="true" outlineLevel="0" collapsed="false">
      <c r="A111" s="37"/>
      <c r="B111" s="37"/>
      <c r="C111" s="37"/>
      <c r="D111" s="37"/>
    </row>
    <row r="112" customFormat="false" ht="18" hidden="false" customHeight="true" outlineLevel="0" collapsed="false">
      <c r="A112" s="37"/>
      <c r="B112" s="37"/>
      <c r="C112" s="37"/>
      <c r="D112" s="37"/>
    </row>
    <row r="113" customFormat="false" ht="3" hidden="false" customHeight="true" outlineLevel="0" collapsed="false">
      <c r="A113" s="18"/>
      <c r="B113" s="18"/>
      <c r="C113" s="18"/>
      <c r="D113" s="18"/>
    </row>
    <row r="114" customFormat="false" ht="12" hidden="false" customHeight="true" outlineLevel="0" collapsed="false">
      <c r="A114" s="18"/>
      <c r="B114" s="18"/>
      <c r="C114" s="18"/>
      <c r="D114" s="18"/>
    </row>
    <row r="115" customFormat="false" ht="8.25" hidden="false" customHeight="true" outlineLevel="0" collapsed="false">
      <c r="A115" s="44" t="s">
        <v>150</v>
      </c>
      <c r="B115" s="18"/>
      <c r="C115" s="44" t="s">
        <v>150</v>
      </c>
      <c r="D115" s="18"/>
    </row>
    <row r="116" customFormat="false" ht="13.5" hidden="false" customHeight="true" outlineLevel="0" collapsed="false">
      <c r="A116" s="44" t="s">
        <v>151</v>
      </c>
      <c r="B116" s="18"/>
      <c r="C116" s="44" t="s">
        <v>152</v>
      </c>
      <c r="D116" s="18"/>
    </row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</sheetData>
  <mergeCells count="8">
    <mergeCell ref="A8:D8"/>
    <mergeCell ref="A10:B10"/>
    <mergeCell ref="C10:D10"/>
    <mergeCell ref="A11:B11"/>
    <mergeCell ref="C11:D11"/>
    <mergeCell ref="A12:B12"/>
    <mergeCell ref="A111:D111"/>
    <mergeCell ref="A112:D112"/>
  </mergeCells>
  <conditionalFormatting sqref="D15:D76">
    <cfRule type="cellIs" priority="2" operator="greaterThan" aboveAverage="0" equalAverage="0" bottom="0" percent="0" rank="0" text="" dxfId="10">
      <formula>B15</formula>
    </cfRule>
  </conditionalFormatting>
  <dataValidations count="1">
    <dataValidation allowBlank="true" errorStyle="stop" operator="equal" showDropDown="false" showErrorMessage="false" showInputMessage="false" sqref="B81:B86 C90:C105" type="list">
      <formula1>"Sí,No"</formula1>
      <formula2>0</formula2>
    </dataValidation>
  </dataValidations>
  <printOptions headings="false" gridLines="false" gridLinesSet="true" horizontalCentered="true" verticalCentered="false"/>
  <pageMargins left="0.39375" right="0.39375" top="0.196527777777778" bottom="0.196527777777778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86"/>
  <sheetViews>
    <sheetView showFormulas="false" showGridLines="false" showRowColHeaders="true" showZeros="true" rightToLeft="false" tabSelected="false" showOutlineSymbols="true" defaultGridColor="true" view="normal" topLeftCell="A61" colorId="64" zoomScale="100" zoomScaleNormal="100" zoomScalePageLayoutView="100" workbookViewId="0">
      <selection pane="topLeft" activeCell="D74" activeCellId="0" sqref="D74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87.43"/>
    <col collapsed="false" customWidth="true" hidden="false" outlineLevel="0" max="2" min="2" style="1" width="11"/>
    <col collapsed="false" customWidth="true" hidden="false" outlineLevel="0" max="3" min="3" style="1" width="34"/>
    <col collapsed="false" customWidth="true" hidden="false" outlineLevel="0" max="4" min="4" style="1" width="11"/>
    <col collapsed="false" customWidth="true" hidden="false" outlineLevel="0" max="26" min="5" style="1" width="8.71"/>
  </cols>
  <sheetData>
    <row r="1" customFormat="false" ht="13.8" hidden="false" customHeight="false" outlineLevel="0" collapsed="false">
      <c r="A1" s="17" t="s">
        <v>41</v>
      </c>
      <c r="B1" s="18"/>
      <c r="C1" s="18"/>
      <c r="D1" s="18"/>
    </row>
    <row r="2" customFormat="false" ht="13.8" hidden="false" customHeight="false" outlineLevel="0" collapsed="false">
      <c r="A2" s="17" t="s">
        <v>42</v>
      </c>
      <c r="B2" s="18"/>
      <c r="C2" s="18"/>
      <c r="D2" s="18"/>
    </row>
    <row r="3" customFormat="false" ht="13.8" hidden="false" customHeight="false" outlineLevel="0" collapsed="false">
      <c r="A3" s="17" t="s">
        <v>43</v>
      </c>
      <c r="B3" s="18"/>
      <c r="C3" s="18"/>
      <c r="D3" s="18"/>
    </row>
    <row r="4" customFormat="false" ht="13.8" hidden="false" customHeight="false" outlineLevel="0" collapsed="false">
      <c r="A4" s="17" t="s">
        <v>44</v>
      </c>
      <c r="B4" s="18"/>
      <c r="C4" s="18"/>
      <c r="D4" s="18"/>
    </row>
    <row r="5" customFormat="false" ht="13.8" hidden="false" customHeight="false" outlineLevel="0" collapsed="false">
      <c r="A5" s="17" t="s">
        <v>45</v>
      </c>
      <c r="B5" s="18"/>
      <c r="C5" s="18"/>
      <c r="D5" s="18"/>
    </row>
    <row r="6" customFormat="false" ht="13.8" hidden="false" customHeight="false" outlineLevel="0" collapsed="false">
      <c r="A6" s="17" t="s">
        <v>46</v>
      </c>
      <c r="B6" s="18"/>
      <c r="C6" s="18"/>
      <c r="D6" s="18"/>
    </row>
    <row r="7" customFormat="false" ht="13.8" hidden="false" customHeight="false" outlineLevel="0" collapsed="false">
      <c r="A7" s="17"/>
      <c r="B7" s="18"/>
      <c r="C7" s="18"/>
      <c r="D7" s="18"/>
    </row>
    <row r="8" customFormat="false" ht="13.8" hidden="false" customHeight="false" outlineLevel="0" collapsed="false">
      <c r="A8" s="19" t="s">
        <v>47</v>
      </c>
      <c r="B8" s="19"/>
      <c r="C8" s="19"/>
      <c r="D8" s="19"/>
    </row>
    <row r="9" customFormat="false" ht="13.8" hidden="false" customHeight="false" outlineLevel="0" collapsed="false">
      <c r="A9" s="20"/>
      <c r="B9" s="20"/>
      <c r="C9" s="20"/>
      <c r="D9" s="20"/>
    </row>
    <row r="10" customFormat="false" ht="13.8" hidden="false" customHeight="false" outlineLevel="0" collapsed="false">
      <c r="A10" s="21" t="s">
        <v>48</v>
      </c>
      <c r="B10" s="21"/>
      <c r="C10" s="22"/>
      <c r="D10" s="22"/>
    </row>
    <row r="11" customFormat="false" ht="13.8" hidden="false" customHeight="false" outlineLevel="0" collapsed="false">
      <c r="A11" s="21" t="s">
        <v>49</v>
      </c>
      <c r="B11" s="21"/>
      <c r="C11" s="23" t="str">
        <f aca="false">VLOOKUP(C12, Consolidado!$B$3:$C$26, 2, 0)</f>
        <v>EVELYN ARACELY CARDONA AGUILON</v>
      </c>
      <c r="D11" s="23"/>
    </row>
    <row r="12" customFormat="false" ht="13.8" hidden="false" customHeight="false" outlineLevel="0" collapsed="false">
      <c r="A12" s="21" t="s">
        <v>50</v>
      </c>
      <c r="B12" s="21"/>
      <c r="C12" s="45" t="n">
        <v>202406816</v>
      </c>
      <c r="D12" s="23"/>
    </row>
    <row r="13" customFormat="false" ht="13.8" hidden="false" customHeight="false" outlineLevel="0" collapsed="false">
      <c r="A13" s="18"/>
      <c r="B13" s="18"/>
      <c r="C13" s="18"/>
      <c r="D13" s="18"/>
    </row>
    <row r="14" customFormat="false" ht="19.5" hidden="false" customHeight="true" outlineLevel="0" collapsed="false">
      <c r="A14" s="24" t="s">
        <v>51</v>
      </c>
      <c r="B14" s="24" t="s">
        <v>52</v>
      </c>
      <c r="C14" s="24" t="s">
        <v>53</v>
      </c>
      <c r="D14" s="24" t="s">
        <v>54</v>
      </c>
    </row>
    <row r="15" customFormat="false" ht="19.5" hidden="false" customHeight="true" outlineLevel="0" collapsed="false">
      <c r="A15" s="25" t="s">
        <v>55</v>
      </c>
      <c r="B15" s="26" t="n">
        <f aca="false">B16+B21+B25</f>
        <v>20</v>
      </c>
      <c r="C15" s="25"/>
      <c r="D15" s="27" t="n">
        <f aca="false">IF(D16+D21+D25=0,"",D16+D21+D25)</f>
        <v>17</v>
      </c>
    </row>
    <row r="16" customFormat="false" ht="18" hidden="false" customHeight="true" outlineLevel="0" collapsed="false">
      <c r="A16" s="28" t="s">
        <v>56</v>
      </c>
      <c r="B16" s="29" t="n">
        <f aca="false">SUM(B17:B20)</f>
        <v>8</v>
      </c>
      <c r="C16" s="28"/>
      <c r="D16" s="30" t="n">
        <f aca="false">SUM(D17:D20)</f>
        <v>8</v>
      </c>
    </row>
    <row r="17" customFormat="false" ht="15" hidden="false" customHeight="true" outlineLevel="0" collapsed="false">
      <c r="A17" s="31" t="s">
        <v>57</v>
      </c>
      <c r="B17" s="32" t="n">
        <v>2</v>
      </c>
      <c r="C17" s="31"/>
      <c r="D17" s="33" t="n">
        <v>2</v>
      </c>
    </row>
    <row r="18" customFormat="false" ht="15" hidden="false" customHeight="true" outlineLevel="0" collapsed="false">
      <c r="A18" s="31" t="s">
        <v>58</v>
      </c>
      <c r="B18" s="32" t="n">
        <v>2</v>
      </c>
      <c r="C18" s="31"/>
      <c r="D18" s="33" t="n">
        <v>2</v>
      </c>
    </row>
    <row r="19" customFormat="false" ht="15" hidden="false" customHeight="true" outlineLevel="0" collapsed="false">
      <c r="A19" s="31" t="s">
        <v>59</v>
      </c>
      <c r="B19" s="32" t="n">
        <v>2</v>
      </c>
      <c r="C19" s="31"/>
      <c r="D19" s="33" t="n">
        <v>2</v>
      </c>
    </row>
    <row r="20" customFormat="false" ht="15" hidden="false" customHeight="true" outlineLevel="0" collapsed="false">
      <c r="A20" s="31" t="s">
        <v>60</v>
      </c>
      <c r="B20" s="32" t="n">
        <v>2</v>
      </c>
      <c r="C20" s="31"/>
      <c r="D20" s="33" t="n">
        <v>2</v>
      </c>
    </row>
    <row r="21" customFormat="false" ht="18" hidden="false" customHeight="true" outlineLevel="0" collapsed="false">
      <c r="A21" s="28" t="s">
        <v>61</v>
      </c>
      <c r="B21" s="29" t="n">
        <f aca="false">SUM(B22:B24)</f>
        <v>6</v>
      </c>
      <c r="C21" s="28"/>
      <c r="D21" s="30" t="n">
        <f aca="false">SUM(D22:D24)</f>
        <v>6</v>
      </c>
    </row>
    <row r="22" customFormat="false" ht="15" hidden="false" customHeight="true" outlineLevel="0" collapsed="false">
      <c r="A22" s="31" t="s">
        <v>62</v>
      </c>
      <c r="B22" s="32" t="n">
        <v>2</v>
      </c>
      <c r="C22" s="31"/>
      <c r="D22" s="33" t="n">
        <v>2</v>
      </c>
    </row>
    <row r="23" customFormat="false" ht="15" hidden="false" customHeight="true" outlineLevel="0" collapsed="false">
      <c r="A23" s="31" t="s">
        <v>63</v>
      </c>
      <c r="B23" s="32" t="n">
        <v>2</v>
      </c>
      <c r="C23" s="31"/>
      <c r="D23" s="33" t="n">
        <v>2</v>
      </c>
    </row>
    <row r="24" customFormat="false" ht="15" hidden="false" customHeight="true" outlineLevel="0" collapsed="false">
      <c r="A24" s="31" t="s">
        <v>64</v>
      </c>
      <c r="B24" s="32" t="n">
        <v>2</v>
      </c>
      <c r="C24" s="31"/>
      <c r="D24" s="33" t="n">
        <v>2</v>
      </c>
    </row>
    <row r="25" customFormat="false" ht="18" hidden="false" customHeight="true" outlineLevel="0" collapsed="false">
      <c r="A25" s="28" t="s">
        <v>65</v>
      </c>
      <c r="B25" s="29" t="n">
        <f aca="false">SUM(B26:B28)</f>
        <v>6</v>
      </c>
      <c r="C25" s="28"/>
      <c r="D25" s="30" t="n">
        <f aca="false">SUM(D26:D28)</f>
        <v>3</v>
      </c>
    </row>
    <row r="26" customFormat="false" ht="16.5" hidden="false" customHeight="true" outlineLevel="0" collapsed="false">
      <c r="A26" s="31" t="s">
        <v>66</v>
      </c>
      <c r="B26" s="32" t="n">
        <v>2</v>
      </c>
      <c r="C26" s="31"/>
      <c r="D26" s="33" t="n">
        <v>1</v>
      </c>
    </row>
    <row r="27" customFormat="false" ht="15" hidden="false" customHeight="true" outlineLevel="0" collapsed="false">
      <c r="A27" s="31" t="s">
        <v>67</v>
      </c>
      <c r="B27" s="32" t="n">
        <v>2</v>
      </c>
      <c r="C27" s="31"/>
      <c r="D27" s="33" t="n">
        <v>1</v>
      </c>
    </row>
    <row r="28" customFormat="false" ht="15" hidden="false" customHeight="true" outlineLevel="0" collapsed="false">
      <c r="A28" s="31" t="s">
        <v>68</v>
      </c>
      <c r="B28" s="32" t="n">
        <v>2</v>
      </c>
      <c r="C28" s="31"/>
      <c r="D28" s="33" t="n">
        <v>1</v>
      </c>
    </row>
    <row r="29" customFormat="false" ht="19.5" hidden="false" customHeight="true" outlineLevel="0" collapsed="false">
      <c r="A29" s="25" t="s">
        <v>69</v>
      </c>
      <c r="B29" s="26" t="n">
        <f aca="false">B30+B34+B40+B44+B49+B53+B58+B63</f>
        <v>55</v>
      </c>
      <c r="C29" s="25"/>
      <c r="D29" s="27" t="n">
        <f aca="false">IF(D30+D34+D40+D44+D49+D53+D58+D63=0,"",D30+D34+D40+D44+D49+D53+D58+D63)</f>
        <v>50.5</v>
      </c>
    </row>
    <row r="30" customFormat="false" ht="18" hidden="false" customHeight="true" outlineLevel="0" collapsed="false">
      <c r="A30" s="28" t="s">
        <v>70</v>
      </c>
      <c r="B30" s="29" t="n">
        <f aca="false">SUM(B31:B33)</f>
        <v>5</v>
      </c>
      <c r="C30" s="28"/>
      <c r="D30" s="30" t="n">
        <f aca="false">SUM(D31:D33)</f>
        <v>3.5</v>
      </c>
    </row>
    <row r="31" customFormat="false" ht="15" hidden="false" customHeight="true" outlineLevel="0" collapsed="false">
      <c r="A31" s="31" t="s">
        <v>71</v>
      </c>
      <c r="B31" s="32" t="n">
        <v>2</v>
      </c>
      <c r="C31" s="31"/>
      <c r="D31" s="33" t="n">
        <v>2</v>
      </c>
    </row>
    <row r="32" customFormat="false" ht="15" hidden="false" customHeight="true" outlineLevel="0" collapsed="false">
      <c r="A32" s="31" t="s">
        <v>72</v>
      </c>
      <c r="B32" s="32" t="n">
        <v>2</v>
      </c>
      <c r="C32" s="31"/>
      <c r="D32" s="33" t="n">
        <v>1</v>
      </c>
    </row>
    <row r="33" customFormat="false" ht="15" hidden="false" customHeight="true" outlineLevel="0" collapsed="false">
      <c r="A33" s="31" t="s">
        <v>73</v>
      </c>
      <c r="B33" s="32" t="n">
        <v>1</v>
      </c>
      <c r="C33" s="31"/>
      <c r="D33" s="33" t="n">
        <v>0.5</v>
      </c>
    </row>
    <row r="34" customFormat="false" ht="18" hidden="false" customHeight="true" outlineLevel="0" collapsed="false">
      <c r="A34" s="28" t="s">
        <v>74</v>
      </c>
      <c r="B34" s="29" t="n">
        <f aca="false">SUM(B35:B39)</f>
        <v>10</v>
      </c>
      <c r="C34" s="28"/>
      <c r="D34" s="30" t="n">
        <f aca="false">SUM(D35:D39)</f>
        <v>10</v>
      </c>
    </row>
    <row r="35" customFormat="false" ht="15" hidden="false" customHeight="true" outlineLevel="0" collapsed="false">
      <c r="A35" s="31" t="s">
        <v>75</v>
      </c>
      <c r="B35" s="32" t="n">
        <v>3</v>
      </c>
      <c r="C35" s="31"/>
      <c r="D35" s="33" t="n">
        <v>3</v>
      </c>
    </row>
    <row r="36" customFormat="false" ht="15" hidden="false" customHeight="true" outlineLevel="0" collapsed="false">
      <c r="A36" s="31" t="s">
        <v>76</v>
      </c>
      <c r="B36" s="32" t="n">
        <v>2</v>
      </c>
      <c r="C36" s="31"/>
      <c r="D36" s="33" t="n">
        <v>2</v>
      </c>
    </row>
    <row r="37" customFormat="false" ht="15" hidden="false" customHeight="true" outlineLevel="0" collapsed="false">
      <c r="A37" s="31" t="s">
        <v>77</v>
      </c>
      <c r="B37" s="32" t="n">
        <v>2</v>
      </c>
      <c r="C37" s="31"/>
      <c r="D37" s="33" t="n">
        <v>2</v>
      </c>
    </row>
    <row r="38" customFormat="false" ht="15" hidden="false" customHeight="true" outlineLevel="0" collapsed="false">
      <c r="A38" s="31" t="s">
        <v>78</v>
      </c>
      <c r="B38" s="32" t="n">
        <v>1</v>
      </c>
      <c r="C38" s="31"/>
      <c r="D38" s="33" t="n">
        <v>1</v>
      </c>
    </row>
    <row r="39" customFormat="false" ht="15" hidden="false" customHeight="true" outlineLevel="0" collapsed="false">
      <c r="A39" s="31" t="s">
        <v>79</v>
      </c>
      <c r="B39" s="32" t="n">
        <v>2</v>
      </c>
      <c r="C39" s="31"/>
      <c r="D39" s="33" t="n">
        <v>2</v>
      </c>
    </row>
    <row r="40" customFormat="false" ht="18" hidden="false" customHeight="true" outlineLevel="0" collapsed="false">
      <c r="A40" s="28" t="s">
        <v>80</v>
      </c>
      <c r="B40" s="29" t="n">
        <f aca="false">SUM(B41:B43)</f>
        <v>6</v>
      </c>
      <c r="C40" s="28"/>
      <c r="D40" s="30" t="n">
        <f aca="false">SUM(D41:D43)</f>
        <v>6</v>
      </c>
    </row>
    <row r="41" customFormat="false" ht="15" hidden="false" customHeight="true" outlineLevel="0" collapsed="false">
      <c r="A41" s="31" t="s">
        <v>81</v>
      </c>
      <c r="B41" s="32" t="n">
        <v>2</v>
      </c>
      <c r="C41" s="31"/>
      <c r="D41" s="33" t="n">
        <v>2</v>
      </c>
    </row>
    <row r="42" customFormat="false" ht="15" hidden="false" customHeight="true" outlineLevel="0" collapsed="false">
      <c r="A42" s="31" t="s">
        <v>82</v>
      </c>
      <c r="B42" s="32" t="n">
        <v>2</v>
      </c>
      <c r="C42" s="31"/>
      <c r="D42" s="33" t="n">
        <v>2</v>
      </c>
    </row>
    <row r="43" customFormat="false" ht="15" hidden="false" customHeight="true" outlineLevel="0" collapsed="false">
      <c r="A43" s="31" t="s">
        <v>83</v>
      </c>
      <c r="B43" s="32" t="n">
        <v>2</v>
      </c>
      <c r="C43" s="31"/>
      <c r="D43" s="33" t="n">
        <v>2</v>
      </c>
    </row>
    <row r="44" customFormat="false" ht="18" hidden="false" customHeight="true" outlineLevel="0" collapsed="false">
      <c r="A44" s="28" t="s">
        <v>84</v>
      </c>
      <c r="B44" s="29" t="n">
        <f aca="false">SUM(B45:B48)</f>
        <v>8</v>
      </c>
      <c r="C44" s="28"/>
      <c r="D44" s="30" t="n">
        <f aca="false">SUM(D45:D48)</f>
        <v>8</v>
      </c>
    </row>
    <row r="45" customFormat="false" ht="15" hidden="false" customHeight="true" outlineLevel="0" collapsed="false">
      <c r="A45" s="31" t="s">
        <v>85</v>
      </c>
      <c r="B45" s="32" t="n">
        <v>2</v>
      </c>
      <c r="C45" s="31"/>
      <c r="D45" s="33" t="n">
        <v>2</v>
      </c>
    </row>
    <row r="46" customFormat="false" ht="15" hidden="false" customHeight="true" outlineLevel="0" collapsed="false">
      <c r="A46" s="31" t="s">
        <v>86</v>
      </c>
      <c r="B46" s="32" t="n">
        <v>3</v>
      </c>
      <c r="C46" s="31"/>
      <c r="D46" s="33" t="n">
        <v>3</v>
      </c>
    </row>
    <row r="47" customFormat="false" ht="15" hidden="false" customHeight="true" outlineLevel="0" collapsed="false">
      <c r="A47" s="31" t="s">
        <v>87</v>
      </c>
      <c r="B47" s="32" t="n">
        <v>2</v>
      </c>
      <c r="C47" s="31"/>
      <c r="D47" s="33" t="n">
        <v>2</v>
      </c>
    </row>
    <row r="48" customFormat="false" ht="15" hidden="false" customHeight="true" outlineLevel="0" collapsed="false">
      <c r="A48" s="31" t="s">
        <v>88</v>
      </c>
      <c r="B48" s="32" t="n">
        <v>1</v>
      </c>
      <c r="C48" s="31"/>
      <c r="D48" s="33" t="n">
        <v>1</v>
      </c>
    </row>
    <row r="49" customFormat="false" ht="18" hidden="false" customHeight="true" outlineLevel="0" collapsed="false">
      <c r="A49" s="28" t="s">
        <v>89</v>
      </c>
      <c r="B49" s="29" t="n">
        <f aca="false">SUM(B50:B52)</f>
        <v>6</v>
      </c>
      <c r="C49" s="28"/>
      <c r="D49" s="30" t="n">
        <f aca="false">SUM(D50:D52)</f>
        <v>6</v>
      </c>
    </row>
    <row r="50" customFormat="false" ht="15" hidden="false" customHeight="true" outlineLevel="0" collapsed="false">
      <c r="A50" s="31" t="s">
        <v>90</v>
      </c>
      <c r="B50" s="32" t="n">
        <v>2</v>
      </c>
      <c r="C50" s="31"/>
      <c r="D50" s="33" t="n">
        <v>2</v>
      </c>
    </row>
    <row r="51" customFormat="false" ht="15" hidden="false" customHeight="true" outlineLevel="0" collapsed="false">
      <c r="A51" s="31" t="s">
        <v>91</v>
      </c>
      <c r="B51" s="32" t="n">
        <v>2</v>
      </c>
      <c r="C51" s="31"/>
      <c r="D51" s="33" t="n">
        <v>2</v>
      </c>
    </row>
    <row r="52" customFormat="false" ht="15" hidden="false" customHeight="true" outlineLevel="0" collapsed="false">
      <c r="A52" s="31" t="s">
        <v>92</v>
      </c>
      <c r="B52" s="32" t="n">
        <v>2</v>
      </c>
      <c r="C52" s="31"/>
      <c r="D52" s="33" t="n">
        <v>2</v>
      </c>
    </row>
    <row r="53" customFormat="false" ht="18" hidden="false" customHeight="true" outlineLevel="0" collapsed="false">
      <c r="A53" s="28" t="s">
        <v>93</v>
      </c>
      <c r="B53" s="29" t="n">
        <f aca="false">SUM(B54:B57)</f>
        <v>8</v>
      </c>
      <c r="C53" s="28"/>
      <c r="D53" s="30" t="n">
        <f aca="false">SUM(D54:D57)</f>
        <v>8</v>
      </c>
    </row>
    <row r="54" customFormat="false" ht="15" hidden="false" customHeight="true" outlineLevel="0" collapsed="false">
      <c r="A54" s="31" t="s">
        <v>94</v>
      </c>
      <c r="B54" s="32" t="n">
        <v>2</v>
      </c>
      <c r="C54" s="31"/>
      <c r="D54" s="33" t="n">
        <v>2</v>
      </c>
    </row>
    <row r="55" customFormat="false" ht="15" hidden="false" customHeight="true" outlineLevel="0" collapsed="false">
      <c r="A55" s="31" t="s">
        <v>95</v>
      </c>
      <c r="B55" s="32" t="n">
        <v>3</v>
      </c>
      <c r="C55" s="31"/>
      <c r="D55" s="33" t="n">
        <v>3</v>
      </c>
    </row>
    <row r="56" customFormat="false" ht="15" hidden="false" customHeight="true" outlineLevel="0" collapsed="false">
      <c r="A56" s="31" t="s">
        <v>96</v>
      </c>
      <c r="B56" s="32" t="n">
        <v>2</v>
      </c>
      <c r="C56" s="31"/>
      <c r="D56" s="33" t="n">
        <v>2</v>
      </c>
    </row>
    <row r="57" customFormat="false" ht="15" hidden="false" customHeight="true" outlineLevel="0" collapsed="false">
      <c r="A57" s="31" t="s">
        <v>97</v>
      </c>
      <c r="B57" s="32" t="n">
        <v>1</v>
      </c>
      <c r="C57" s="31"/>
      <c r="D57" s="33" t="n">
        <v>1</v>
      </c>
    </row>
    <row r="58" customFormat="false" ht="18" hidden="false" customHeight="true" outlineLevel="0" collapsed="false">
      <c r="A58" s="28" t="s">
        <v>98</v>
      </c>
      <c r="B58" s="29" t="n">
        <f aca="false">SUM(B59:B62)</f>
        <v>6</v>
      </c>
      <c r="C58" s="28"/>
      <c r="D58" s="30" t="n">
        <f aca="false">SUM(D59:D62)</f>
        <v>3</v>
      </c>
    </row>
    <row r="59" customFormat="false" ht="15" hidden="false" customHeight="true" outlineLevel="0" collapsed="false">
      <c r="A59" s="31" t="s">
        <v>99</v>
      </c>
      <c r="B59" s="32" t="n">
        <v>2</v>
      </c>
      <c r="C59" s="31"/>
      <c r="D59" s="33" t="n">
        <v>1</v>
      </c>
    </row>
    <row r="60" customFormat="false" ht="15" hidden="false" customHeight="true" outlineLevel="0" collapsed="false">
      <c r="A60" s="31" t="s">
        <v>100</v>
      </c>
      <c r="B60" s="32" t="n">
        <v>2</v>
      </c>
      <c r="C60" s="31"/>
      <c r="D60" s="33" t="n">
        <v>1</v>
      </c>
    </row>
    <row r="61" customFormat="false" ht="15" hidden="false" customHeight="true" outlineLevel="0" collapsed="false">
      <c r="A61" s="31" t="s">
        <v>101</v>
      </c>
      <c r="B61" s="32" t="n">
        <v>1</v>
      </c>
      <c r="C61" s="31"/>
      <c r="D61" s="33" t="n">
        <v>0.5</v>
      </c>
    </row>
    <row r="62" customFormat="false" ht="15" hidden="false" customHeight="true" outlineLevel="0" collapsed="false">
      <c r="A62" s="31" t="s">
        <v>102</v>
      </c>
      <c r="B62" s="32" t="n">
        <v>1</v>
      </c>
      <c r="C62" s="31"/>
      <c r="D62" s="33" t="n">
        <v>0.5</v>
      </c>
    </row>
    <row r="63" customFormat="false" ht="15" hidden="false" customHeight="true" outlineLevel="0" collapsed="false">
      <c r="A63" s="28" t="s">
        <v>103</v>
      </c>
      <c r="B63" s="29" t="n">
        <f aca="false">SUM(B64:B65)</f>
        <v>6</v>
      </c>
      <c r="C63" s="28"/>
      <c r="D63" s="30" t="n">
        <f aca="false">SUM(D64:D65)</f>
        <v>6</v>
      </c>
    </row>
    <row r="64" customFormat="false" ht="15" hidden="false" customHeight="true" outlineLevel="0" collapsed="false">
      <c r="A64" s="31" t="s">
        <v>104</v>
      </c>
      <c r="B64" s="32" t="n">
        <v>3</v>
      </c>
      <c r="C64" s="31"/>
      <c r="D64" s="33" t="n">
        <v>3</v>
      </c>
    </row>
    <row r="65" customFormat="false" ht="15" hidden="false" customHeight="true" outlineLevel="0" collapsed="false">
      <c r="A65" s="31" t="s">
        <v>105</v>
      </c>
      <c r="B65" s="32" t="n">
        <v>3</v>
      </c>
      <c r="C65" s="31"/>
      <c r="D65" s="33" t="n">
        <v>3</v>
      </c>
    </row>
    <row r="66" customFormat="false" ht="19.5" hidden="false" customHeight="true" outlineLevel="0" collapsed="false">
      <c r="A66" s="25" t="s">
        <v>106</v>
      </c>
      <c r="B66" s="26" t="n">
        <f aca="false">B67+B73</f>
        <v>25</v>
      </c>
      <c r="C66" s="25"/>
      <c r="D66" s="27" t="n">
        <f aca="false">IF(D67+D73=0,"",D67+D73)</f>
        <v>8</v>
      </c>
    </row>
    <row r="67" customFormat="false" ht="18" hidden="false" customHeight="true" outlineLevel="0" collapsed="false">
      <c r="A67" s="28" t="s">
        <v>107</v>
      </c>
      <c r="B67" s="29" t="n">
        <f aca="false">SUM(B68:B72)</f>
        <v>10</v>
      </c>
      <c r="C67" s="28"/>
      <c r="D67" s="30" t="n">
        <f aca="false">IF(SUM(D68:D72)=0,"",SUM(D68:D72))</f>
        <v>8</v>
      </c>
    </row>
    <row r="68" customFormat="false" ht="15" hidden="false" customHeight="true" outlineLevel="0" collapsed="false">
      <c r="A68" s="31" t="s">
        <v>108</v>
      </c>
      <c r="B68" s="32" t="n">
        <v>2</v>
      </c>
      <c r="C68" s="31"/>
      <c r="D68" s="33" t="n">
        <v>2</v>
      </c>
    </row>
    <row r="69" customFormat="false" ht="15" hidden="false" customHeight="true" outlineLevel="0" collapsed="false">
      <c r="A69" s="31" t="s">
        <v>109</v>
      </c>
      <c r="B69" s="32" t="n">
        <v>2</v>
      </c>
      <c r="C69" s="31"/>
      <c r="D69" s="33" t="n">
        <v>2</v>
      </c>
    </row>
    <row r="70" customFormat="false" ht="15" hidden="false" customHeight="true" outlineLevel="0" collapsed="false">
      <c r="A70" s="31" t="s">
        <v>110</v>
      </c>
      <c r="B70" s="32" t="n">
        <v>2</v>
      </c>
      <c r="C70" s="31"/>
      <c r="D70" s="33" t="n">
        <v>2</v>
      </c>
    </row>
    <row r="71" customFormat="false" ht="15" hidden="false" customHeight="true" outlineLevel="0" collapsed="false">
      <c r="A71" s="31" t="s">
        <v>111</v>
      </c>
      <c r="B71" s="32" t="n">
        <v>2</v>
      </c>
      <c r="C71" s="31"/>
      <c r="D71" s="33" t="n">
        <v>2</v>
      </c>
    </row>
    <row r="72" customFormat="false" ht="15" hidden="false" customHeight="true" outlineLevel="0" collapsed="false">
      <c r="A72" s="31" t="s">
        <v>112</v>
      </c>
      <c r="B72" s="32" t="n">
        <v>2</v>
      </c>
      <c r="C72" s="31"/>
      <c r="D72" s="33" t="n">
        <v>0</v>
      </c>
    </row>
    <row r="73" customFormat="false" ht="18" hidden="false" customHeight="true" outlineLevel="0" collapsed="false">
      <c r="A73" s="28" t="s">
        <v>113</v>
      </c>
      <c r="B73" s="29" t="n">
        <f aca="false">SUM(B74:B76)</f>
        <v>15</v>
      </c>
      <c r="C73" s="28"/>
      <c r="D73" s="30" t="n">
        <f aca="false">SUM(D74:D76)</f>
        <v>0</v>
      </c>
    </row>
    <row r="74" customFormat="false" ht="15" hidden="false" customHeight="true" outlineLevel="0" collapsed="false">
      <c r="A74" s="31" t="s">
        <v>114</v>
      </c>
      <c r="B74" s="32" t="n">
        <v>5</v>
      </c>
      <c r="C74" s="31"/>
      <c r="D74" s="33" t="n">
        <v>0</v>
      </c>
    </row>
    <row r="75" customFormat="false" ht="15" hidden="false" customHeight="true" outlineLevel="0" collapsed="false">
      <c r="A75" s="31" t="s">
        <v>115</v>
      </c>
      <c r="B75" s="32" t="n">
        <v>5</v>
      </c>
      <c r="C75" s="31"/>
      <c r="D75" s="33" t="n">
        <v>0</v>
      </c>
    </row>
    <row r="76" customFormat="false" ht="15" hidden="false" customHeight="true" outlineLevel="0" collapsed="false">
      <c r="A76" s="31" t="s">
        <v>116</v>
      </c>
      <c r="B76" s="32" t="n">
        <v>5</v>
      </c>
      <c r="C76" s="31"/>
      <c r="D76" s="33" t="n">
        <v>0</v>
      </c>
    </row>
    <row r="77" customFormat="false" ht="19.5" hidden="false" customHeight="true" outlineLevel="0" collapsed="false">
      <c r="A77" s="34" t="s">
        <v>117</v>
      </c>
      <c r="B77" s="35" t="n">
        <f aca="false">B15+B29+B66</f>
        <v>100</v>
      </c>
      <c r="C77" s="36"/>
      <c r="D77" s="16" t="n">
        <f aca="false">IF(D15+D29+D66=0,"",D15+D29+D66)</f>
        <v>75.5</v>
      </c>
    </row>
    <row r="78" customFormat="false" ht="1.5" hidden="false" customHeight="true" outlineLevel="0" collapsed="false">
      <c r="A78" s="18"/>
      <c r="B78" s="18"/>
      <c r="C78" s="18"/>
      <c r="D78" s="18"/>
    </row>
    <row r="79" customFormat="false" ht="15.75" hidden="false" customHeight="true" outlineLevel="0" collapsed="false">
      <c r="A79" s="17" t="s">
        <v>118</v>
      </c>
      <c r="B79" s="18"/>
      <c r="C79" s="18"/>
      <c r="D79" s="18"/>
    </row>
    <row r="80" customFormat="false" ht="15.75" hidden="false" customHeight="true" outlineLevel="0" collapsed="false">
      <c r="A80" s="24" t="s">
        <v>119</v>
      </c>
      <c r="B80" s="24" t="s">
        <v>120</v>
      </c>
      <c r="C80" s="24" t="s">
        <v>53</v>
      </c>
      <c r="D80" s="24"/>
    </row>
    <row r="81" customFormat="false" ht="15.75" hidden="false" customHeight="true" outlineLevel="0" collapsed="false">
      <c r="A81" s="31" t="s">
        <v>121</v>
      </c>
      <c r="B81" s="4"/>
      <c r="C81" s="37"/>
      <c r="D81" s="38"/>
    </row>
    <row r="82" customFormat="false" ht="15.75" hidden="false" customHeight="true" outlineLevel="0" collapsed="false">
      <c r="A82" s="31" t="s">
        <v>122</v>
      </c>
      <c r="B82" s="4"/>
      <c r="C82" s="37"/>
      <c r="D82" s="38"/>
    </row>
    <row r="83" customFormat="false" ht="15.75" hidden="false" customHeight="true" outlineLevel="0" collapsed="false">
      <c r="A83" s="31" t="s">
        <v>123</v>
      </c>
      <c r="B83" s="4"/>
      <c r="C83" s="37"/>
      <c r="D83" s="38"/>
    </row>
    <row r="84" customFormat="false" ht="15.75" hidden="false" customHeight="true" outlineLevel="0" collapsed="false">
      <c r="A84" s="31" t="s">
        <v>124</v>
      </c>
      <c r="B84" s="4"/>
      <c r="C84" s="37"/>
      <c r="D84" s="38"/>
    </row>
    <row r="85" customFormat="false" ht="15.75" hidden="false" customHeight="true" outlineLevel="0" collapsed="false">
      <c r="A85" s="31" t="s">
        <v>125</v>
      </c>
      <c r="B85" s="4"/>
      <c r="C85" s="37"/>
      <c r="D85" s="38"/>
    </row>
    <row r="86" customFormat="false" ht="15.75" hidden="false" customHeight="true" outlineLevel="0" collapsed="false">
      <c r="A86" s="31" t="s">
        <v>126</v>
      </c>
      <c r="B86" s="4"/>
      <c r="C86" s="37"/>
      <c r="D86" s="38"/>
    </row>
    <row r="87" customFormat="false" ht="1.5" hidden="false" customHeight="true" outlineLevel="0" collapsed="false">
      <c r="A87" s="18"/>
      <c r="B87" s="18"/>
      <c r="C87" s="18"/>
      <c r="D87" s="18"/>
    </row>
    <row r="88" customFormat="false" ht="15.75" hidden="false" customHeight="true" outlineLevel="0" collapsed="false">
      <c r="A88" s="17" t="s">
        <v>127</v>
      </c>
      <c r="B88" s="18"/>
      <c r="C88" s="18"/>
      <c r="D88" s="18"/>
    </row>
    <row r="89" customFormat="false" ht="15.75" hidden="false" customHeight="true" outlineLevel="0" collapsed="false">
      <c r="A89" s="24" t="s">
        <v>128</v>
      </c>
      <c r="B89" s="24" t="s">
        <v>8</v>
      </c>
      <c r="C89" s="24" t="s">
        <v>129</v>
      </c>
      <c r="D89" s="24" t="s">
        <v>130</v>
      </c>
    </row>
    <row r="90" customFormat="false" ht="15.75" hidden="false" customHeight="true" outlineLevel="0" collapsed="false">
      <c r="A90" s="31" t="s">
        <v>131</v>
      </c>
      <c r="B90" s="39" t="n">
        <v>-0.3</v>
      </c>
      <c r="C90" s="4"/>
      <c r="D90" s="8" t="str">
        <f aca="false">IF(C90="Sí",$D$77*B90,"")</f>
        <v/>
      </c>
    </row>
    <row r="91" customFormat="false" ht="15.75" hidden="false" customHeight="true" outlineLevel="0" collapsed="false">
      <c r="A91" s="31" t="s">
        <v>132</v>
      </c>
      <c r="B91" s="39" t="n">
        <v>-0.2</v>
      </c>
      <c r="C91" s="4"/>
      <c r="D91" s="8" t="str">
        <f aca="false">IF(C91="Sí",$D$77*B91,"")</f>
        <v/>
      </c>
    </row>
    <row r="92" customFormat="false" ht="15.75" hidden="false" customHeight="true" outlineLevel="0" collapsed="false">
      <c r="A92" s="31" t="s">
        <v>133</v>
      </c>
      <c r="B92" s="39" t="n">
        <v>-1</v>
      </c>
      <c r="C92" s="4"/>
      <c r="D92" s="8" t="str">
        <f aca="false">IF(C92="Sí",$D$77*B92,"")</f>
        <v/>
      </c>
    </row>
    <row r="93" customFormat="false" ht="15.75" hidden="false" customHeight="true" outlineLevel="0" collapsed="false">
      <c r="A93" s="31" t="s">
        <v>134</v>
      </c>
      <c r="B93" s="39" t="n">
        <v>-0.2</v>
      </c>
      <c r="C93" s="4"/>
      <c r="D93" s="8" t="str">
        <f aca="false">IF(C93="Sí",$D$77*B93,"")</f>
        <v/>
      </c>
    </row>
    <row r="94" customFormat="false" ht="15.75" hidden="false" customHeight="true" outlineLevel="0" collapsed="false">
      <c r="A94" s="31" t="s">
        <v>135</v>
      </c>
      <c r="B94" s="39" t="n">
        <v>-1</v>
      </c>
      <c r="C94" s="4"/>
      <c r="D94" s="8" t="str">
        <f aca="false">IF(C94="Sí",$D$77*B94,"")</f>
        <v/>
      </c>
    </row>
    <row r="95" customFormat="false" ht="15.75" hidden="false" customHeight="true" outlineLevel="0" collapsed="false">
      <c r="A95" s="31" t="s">
        <v>136</v>
      </c>
      <c r="B95" s="39" t="n">
        <v>-0.75</v>
      </c>
      <c r="C95" s="4"/>
      <c r="D95" s="8" t="str">
        <f aca="false">IF(C95="Sí",$D$77*B95,"")</f>
        <v/>
      </c>
    </row>
    <row r="96" customFormat="false" ht="15.75" hidden="false" customHeight="true" outlineLevel="0" collapsed="false">
      <c r="A96" s="31" t="s">
        <v>137</v>
      </c>
      <c r="B96" s="39" t="n">
        <v>-0.75</v>
      </c>
      <c r="C96" s="4"/>
      <c r="D96" s="8" t="str">
        <f aca="false">IF(C96="Sí",$D$77*B96,"")</f>
        <v/>
      </c>
    </row>
    <row r="97" customFormat="false" ht="15.75" hidden="false" customHeight="true" outlineLevel="0" collapsed="false">
      <c r="A97" s="31" t="s">
        <v>138</v>
      </c>
      <c r="B97" s="39" t="n">
        <v>-1</v>
      </c>
      <c r="C97" s="4"/>
      <c r="D97" s="8" t="str">
        <f aca="false">IF(C97="Sí",$D$77*B97,"")</f>
        <v/>
      </c>
    </row>
    <row r="98" customFormat="false" ht="15.75" hidden="false" customHeight="true" outlineLevel="0" collapsed="false">
      <c r="A98" s="31" t="s">
        <v>139</v>
      </c>
      <c r="B98" s="39" t="n">
        <v>-0.5</v>
      </c>
      <c r="C98" s="4"/>
      <c r="D98" s="8" t="str">
        <f aca="false">IF(C98="Sí",$D$77*B98,"")</f>
        <v/>
      </c>
    </row>
    <row r="99" customFormat="false" ht="15.75" hidden="false" customHeight="true" outlineLevel="0" collapsed="false">
      <c r="A99" s="31" t="s">
        <v>140</v>
      </c>
      <c r="B99" s="39" t="n">
        <v>-1</v>
      </c>
      <c r="C99" s="4"/>
      <c r="D99" s="8" t="str">
        <f aca="false">IF(C99="Sí",$D$77*B99,"")</f>
        <v/>
      </c>
    </row>
    <row r="100" customFormat="false" ht="15.75" hidden="false" customHeight="true" outlineLevel="0" collapsed="false">
      <c r="A100" s="31" t="s">
        <v>141</v>
      </c>
      <c r="B100" s="39" t="n">
        <v>-1</v>
      </c>
      <c r="C100" s="4"/>
      <c r="D100" s="8" t="str">
        <f aca="false">IF(C100="Sí",$D$77*B100,"")</f>
        <v/>
      </c>
    </row>
    <row r="101" customFormat="false" ht="15.75" hidden="false" customHeight="true" outlineLevel="0" collapsed="false">
      <c r="A101" s="31" t="s">
        <v>142</v>
      </c>
      <c r="B101" s="39" t="n">
        <v>-0.25</v>
      </c>
      <c r="C101" s="4"/>
      <c r="D101" s="8" t="str">
        <f aca="false">IF(C101="Sí",$D$77*B101,"")</f>
        <v/>
      </c>
    </row>
    <row r="102" customFormat="false" ht="15.75" hidden="false" customHeight="true" outlineLevel="0" collapsed="false">
      <c r="A102" s="31" t="s">
        <v>143</v>
      </c>
      <c r="B102" s="39" t="n">
        <v>-1</v>
      </c>
      <c r="C102" s="4"/>
      <c r="D102" s="8" t="str">
        <f aca="false">IF(C102="Sí",$D$77*B102,"")</f>
        <v/>
      </c>
    </row>
    <row r="103" customFormat="false" ht="15.75" hidden="false" customHeight="true" outlineLevel="0" collapsed="false">
      <c r="A103" s="31" t="s">
        <v>144</v>
      </c>
      <c r="B103" s="39" t="n">
        <v>-1</v>
      </c>
      <c r="C103" s="4"/>
      <c r="D103" s="8" t="str">
        <f aca="false">IF(C103="Sí",$D$77*B103,"")</f>
        <v/>
      </c>
    </row>
    <row r="104" customFormat="false" ht="15.75" hidden="false" customHeight="true" outlineLevel="0" collapsed="false">
      <c r="A104" s="31" t="s">
        <v>145</v>
      </c>
      <c r="B104" s="39" t="n">
        <v>-1</v>
      </c>
      <c r="C104" s="4"/>
      <c r="D104" s="8" t="str">
        <f aca="false">IF(C104="Sí",$D$77*B104,"")</f>
        <v/>
      </c>
    </row>
    <row r="105" customFormat="false" ht="15.75" hidden="false" customHeight="true" outlineLevel="0" collapsed="false">
      <c r="A105" s="31" t="s">
        <v>146</v>
      </c>
      <c r="B105" s="39" t="n">
        <v>-1</v>
      </c>
      <c r="C105" s="4"/>
      <c r="D105" s="8" t="str">
        <f aca="false">IF(C105="Sí",$D$77*B105,"")</f>
        <v/>
      </c>
    </row>
    <row r="106" customFormat="false" ht="15.75" hidden="false" customHeight="true" outlineLevel="0" collapsed="false">
      <c r="A106" s="34" t="s">
        <v>147</v>
      </c>
      <c r="B106" s="36"/>
      <c r="C106" s="36"/>
      <c r="D106" s="16" t="str">
        <f aca="false">IF(SUM(D90:D105)=0,"",SUM(D90:D105))</f>
        <v/>
      </c>
    </row>
    <row r="107" customFormat="false" ht="1.5" hidden="false" customHeight="true" outlineLevel="0" collapsed="false">
      <c r="A107" s="18"/>
      <c r="B107" s="18"/>
      <c r="C107" s="18"/>
      <c r="D107" s="18"/>
    </row>
    <row r="108" customFormat="false" ht="21.75" hidden="false" customHeight="true" outlineLevel="0" collapsed="false">
      <c r="A108" s="40" t="s">
        <v>148</v>
      </c>
      <c r="B108" s="41"/>
      <c r="C108" s="41"/>
      <c r="D108" s="42" t="e">
        <f aca="false">IF(MAX(0,ROUND($D$77+$D$106,2))=0,"",MAX(0,ROUND($D$77+$D$106,2)))</f>
        <v>#VALUE!</v>
      </c>
    </row>
    <row r="109" customFormat="false" ht="1.5" hidden="false" customHeight="true" outlineLevel="0" collapsed="false">
      <c r="A109" s="18"/>
      <c r="B109" s="18"/>
      <c r="C109" s="18"/>
      <c r="D109" s="18"/>
    </row>
    <row r="110" customFormat="false" ht="15.75" hidden="false" customHeight="true" outlineLevel="0" collapsed="false">
      <c r="A110" s="43" t="s">
        <v>149</v>
      </c>
      <c r="B110" s="18"/>
      <c r="C110" s="18"/>
      <c r="D110" s="18"/>
    </row>
    <row r="111" customFormat="false" ht="18" hidden="false" customHeight="true" outlineLevel="0" collapsed="false">
      <c r="A111" s="37"/>
      <c r="B111" s="37"/>
      <c r="C111" s="37"/>
      <c r="D111" s="37"/>
    </row>
    <row r="112" customFormat="false" ht="18" hidden="false" customHeight="true" outlineLevel="0" collapsed="false">
      <c r="A112" s="37"/>
      <c r="B112" s="37"/>
      <c r="C112" s="37"/>
      <c r="D112" s="37"/>
    </row>
    <row r="113" customFormat="false" ht="3" hidden="false" customHeight="true" outlineLevel="0" collapsed="false">
      <c r="A113" s="18"/>
      <c r="B113" s="18"/>
      <c r="C113" s="18"/>
      <c r="D113" s="18"/>
    </row>
    <row r="114" customFormat="false" ht="12" hidden="false" customHeight="true" outlineLevel="0" collapsed="false">
      <c r="A114" s="18"/>
      <c r="B114" s="18"/>
      <c r="C114" s="18"/>
      <c r="D114" s="18"/>
    </row>
    <row r="115" customFormat="false" ht="8.25" hidden="false" customHeight="true" outlineLevel="0" collapsed="false">
      <c r="A115" s="44" t="s">
        <v>150</v>
      </c>
      <c r="B115" s="18"/>
      <c r="C115" s="44" t="s">
        <v>150</v>
      </c>
      <c r="D115" s="18"/>
    </row>
    <row r="116" customFormat="false" ht="13.5" hidden="false" customHeight="true" outlineLevel="0" collapsed="false">
      <c r="A116" s="44" t="s">
        <v>151</v>
      </c>
      <c r="B116" s="18"/>
      <c r="C116" s="44" t="s">
        <v>152</v>
      </c>
      <c r="D116" s="18"/>
    </row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</sheetData>
  <mergeCells count="8">
    <mergeCell ref="A8:D8"/>
    <mergeCell ref="A10:B10"/>
    <mergeCell ref="C10:D10"/>
    <mergeCell ref="A11:B11"/>
    <mergeCell ref="C11:D11"/>
    <mergeCell ref="A12:B12"/>
    <mergeCell ref="A111:D111"/>
    <mergeCell ref="A112:D112"/>
  </mergeCells>
  <conditionalFormatting sqref="D15:D76">
    <cfRule type="cellIs" priority="2" operator="greaterThan" aboveAverage="0" equalAverage="0" bottom="0" percent="0" rank="0" text="" dxfId="10">
      <formula>B15</formula>
    </cfRule>
  </conditionalFormatting>
  <dataValidations count="1">
    <dataValidation allowBlank="true" errorStyle="stop" operator="equal" showDropDown="false" showErrorMessage="false" showInputMessage="false" sqref="B81:B86 C90:C105" type="list">
      <formula1>"Sí,No"</formula1>
      <formula2>0</formula2>
    </dataValidation>
  </dataValidations>
  <printOptions headings="false" gridLines="false" gridLinesSet="true" horizontalCentered="true" verticalCentered="false"/>
  <pageMargins left="0.39375" right="0.39375" top="0.196527777777778" bottom="0.196527777777778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86"/>
  <sheetViews>
    <sheetView showFormulas="false" showGridLines="false" showRowColHeaders="true" showZeros="true" rightToLeft="false" tabSelected="false" showOutlineSymbols="true" defaultGridColor="true" view="normal" topLeftCell="A79" colorId="64" zoomScale="100" zoomScaleNormal="100" zoomScalePageLayoutView="100" workbookViewId="0">
      <selection pane="topLeft" activeCell="D76" activeCellId="0" sqref="D7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87.43"/>
    <col collapsed="false" customWidth="true" hidden="false" outlineLevel="0" max="2" min="2" style="1" width="11"/>
    <col collapsed="false" customWidth="true" hidden="false" outlineLevel="0" max="3" min="3" style="1" width="34"/>
    <col collapsed="false" customWidth="true" hidden="false" outlineLevel="0" max="4" min="4" style="1" width="11"/>
    <col collapsed="false" customWidth="true" hidden="false" outlineLevel="0" max="26" min="5" style="1" width="8.71"/>
  </cols>
  <sheetData>
    <row r="1" customFormat="false" ht="13.8" hidden="false" customHeight="false" outlineLevel="0" collapsed="false">
      <c r="A1" s="17" t="s">
        <v>41</v>
      </c>
      <c r="B1" s="18"/>
      <c r="C1" s="18"/>
      <c r="D1" s="18"/>
    </row>
    <row r="2" customFormat="false" ht="13.8" hidden="false" customHeight="false" outlineLevel="0" collapsed="false">
      <c r="A2" s="17" t="s">
        <v>42</v>
      </c>
      <c r="B2" s="18"/>
      <c r="C2" s="18"/>
      <c r="D2" s="18"/>
    </row>
    <row r="3" customFormat="false" ht="13.8" hidden="false" customHeight="false" outlineLevel="0" collapsed="false">
      <c r="A3" s="17" t="s">
        <v>43</v>
      </c>
      <c r="B3" s="18"/>
      <c r="C3" s="18"/>
      <c r="D3" s="18"/>
    </row>
    <row r="4" customFormat="false" ht="13.8" hidden="false" customHeight="false" outlineLevel="0" collapsed="false">
      <c r="A4" s="17" t="s">
        <v>44</v>
      </c>
      <c r="B4" s="18"/>
      <c r="C4" s="18"/>
      <c r="D4" s="18"/>
    </row>
    <row r="5" customFormat="false" ht="13.8" hidden="false" customHeight="false" outlineLevel="0" collapsed="false">
      <c r="A5" s="17" t="s">
        <v>45</v>
      </c>
      <c r="B5" s="18"/>
      <c r="C5" s="18"/>
      <c r="D5" s="18"/>
    </row>
    <row r="6" customFormat="false" ht="13.8" hidden="false" customHeight="false" outlineLevel="0" collapsed="false">
      <c r="A6" s="17" t="s">
        <v>46</v>
      </c>
      <c r="B6" s="18"/>
      <c r="C6" s="18"/>
      <c r="D6" s="18"/>
    </row>
    <row r="7" customFormat="false" ht="13.8" hidden="false" customHeight="false" outlineLevel="0" collapsed="false">
      <c r="A7" s="17"/>
      <c r="B7" s="18"/>
      <c r="C7" s="18"/>
      <c r="D7" s="18"/>
    </row>
    <row r="8" customFormat="false" ht="13.8" hidden="false" customHeight="false" outlineLevel="0" collapsed="false">
      <c r="A8" s="19" t="s">
        <v>47</v>
      </c>
      <c r="B8" s="19"/>
      <c r="C8" s="19"/>
      <c r="D8" s="19"/>
    </row>
    <row r="9" customFormat="false" ht="13.8" hidden="false" customHeight="false" outlineLevel="0" collapsed="false">
      <c r="A9" s="20"/>
      <c r="B9" s="20"/>
      <c r="C9" s="20"/>
      <c r="D9" s="20"/>
    </row>
    <row r="10" customFormat="false" ht="13.8" hidden="false" customHeight="false" outlineLevel="0" collapsed="false">
      <c r="A10" s="21" t="s">
        <v>48</v>
      </c>
      <c r="B10" s="21"/>
      <c r="C10" s="22" t="n">
        <v>46283</v>
      </c>
      <c r="D10" s="22"/>
    </row>
    <row r="11" customFormat="false" ht="13.8" hidden="false" customHeight="false" outlineLevel="0" collapsed="false">
      <c r="A11" s="21" t="s">
        <v>49</v>
      </c>
      <c r="B11" s="21"/>
      <c r="C11" s="23" t="str">
        <f aca="false">VLOOKUP(C12, Consolidado!$B$3:$C$26, 2, 0)</f>
        <v>DIEGO JOSÉ GÓMEZ LÓPEZ</v>
      </c>
      <c r="D11" s="23"/>
    </row>
    <row r="12" customFormat="false" ht="13.8" hidden="false" customHeight="false" outlineLevel="0" collapsed="false">
      <c r="A12" s="21" t="s">
        <v>50</v>
      </c>
      <c r="B12" s="21"/>
      <c r="C12" s="45" t="n">
        <v>202501349</v>
      </c>
      <c r="D12" s="23"/>
    </row>
    <row r="13" customFormat="false" ht="13.8" hidden="false" customHeight="false" outlineLevel="0" collapsed="false">
      <c r="A13" s="18"/>
      <c r="B13" s="18"/>
      <c r="C13" s="18"/>
      <c r="D13" s="18"/>
    </row>
    <row r="14" customFormat="false" ht="19.5" hidden="false" customHeight="true" outlineLevel="0" collapsed="false">
      <c r="A14" s="24" t="s">
        <v>51</v>
      </c>
      <c r="B14" s="24" t="s">
        <v>52</v>
      </c>
      <c r="C14" s="24" t="s">
        <v>53</v>
      </c>
      <c r="D14" s="24" t="s">
        <v>54</v>
      </c>
    </row>
    <row r="15" customFormat="false" ht="19.5" hidden="false" customHeight="true" outlineLevel="0" collapsed="false">
      <c r="A15" s="25" t="s">
        <v>55</v>
      </c>
      <c r="B15" s="26" t="n">
        <f aca="false">B16+B21+B25</f>
        <v>20</v>
      </c>
      <c r="C15" s="25"/>
      <c r="D15" s="27" t="n">
        <f aca="false">IF(D16+D21+D25=0,"",D16+D21+D25)</f>
        <v>20</v>
      </c>
    </row>
    <row r="16" customFormat="false" ht="18" hidden="false" customHeight="true" outlineLevel="0" collapsed="false">
      <c r="A16" s="28" t="s">
        <v>56</v>
      </c>
      <c r="B16" s="29" t="n">
        <f aca="false">SUM(B17:B20)</f>
        <v>8</v>
      </c>
      <c r="C16" s="28"/>
      <c r="D16" s="30" t="n">
        <f aca="false">SUM(D17:D20)</f>
        <v>8</v>
      </c>
    </row>
    <row r="17" customFormat="false" ht="15" hidden="false" customHeight="true" outlineLevel="0" collapsed="false">
      <c r="A17" s="31" t="s">
        <v>57</v>
      </c>
      <c r="B17" s="32" t="n">
        <v>2</v>
      </c>
      <c r="C17" s="31"/>
      <c r="D17" s="33" t="n">
        <v>2</v>
      </c>
    </row>
    <row r="18" customFormat="false" ht="15" hidden="false" customHeight="true" outlineLevel="0" collapsed="false">
      <c r="A18" s="31" t="s">
        <v>58</v>
      </c>
      <c r="B18" s="32" t="n">
        <v>2</v>
      </c>
      <c r="C18" s="31"/>
      <c r="D18" s="33" t="n">
        <v>2</v>
      </c>
    </row>
    <row r="19" customFormat="false" ht="15" hidden="false" customHeight="true" outlineLevel="0" collapsed="false">
      <c r="A19" s="31" t="s">
        <v>59</v>
      </c>
      <c r="B19" s="32" t="n">
        <v>2</v>
      </c>
      <c r="C19" s="31"/>
      <c r="D19" s="33" t="n">
        <v>2</v>
      </c>
    </row>
    <row r="20" customFormat="false" ht="15" hidden="false" customHeight="true" outlineLevel="0" collapsed="false">
      <c r="A20" s="31" t="s">
        <v>60</v>
      </c>
      <c r="B20" s="32" t="n">
        <v>2</v>
      </c>
      <c r="C20" s="31"/>
      <c r="D20" s="33" t="n">
        <v>2</v>
      </c>
    </row>
    <row r="21" customFormat="false" ht="18" hidden="false" customHeight="true" outlineLevel="0" collapsed="false">
      <c r="A21" s="28" t="s">
        <v>61</v>
      </c>
      <c r="B21" s="29" t="n">
        <f aca="false">SUM(B22:B24)</f>
        <v>6</v>
      </c>
      <c r="C21" s="28"/>
      <c r="D21" s="30" t="n">
        <f aca="false">SUM(D22:D24)</f>
        <v>6</v>
      </c>
    </row>
    <row r="22" customFormat="false" ht="15" hidden="false" customHeight="true" outlineLevel="0" collapsed="false">
      <c r="A22" s="31" t="s">
        <v>62</v>
      </c>
      <c r="B22" s="32" t="n">
        <v>2</v>
      </c>
      <c r="C22" s="31"/>
      <c r="D22" s="33" t="n">
        <v>2</v>
      </c>
    </row>
    <row r="23" customFormat="false" ht="15" hidden="false" customHeight="true" outlineLevel="0" collapsed="false">
      <c r="A23" s="31" t="s">
        <v>63</v>
      </c>
      <c r="B23" s="32" t="n">
        <v>2</v>
      </c>
      <c r="C23" s="31"/>
      <c r="D23" s="33" t="n">
        <v>2</v>
      </c>
    </row>
    <row r="24" customFormat="false" ht="15" hidden="false" customHeight="true" outlineLevel="0" collapsed="false">
      <c r="A24" s="31" t="s">
        <v>64</v>
      </c>
      <c r="B24" s="32" t="n">
        <v>2</v>
      </c>
      <c r="C24" s="31"/>
      <c r="D24" s="33" t="n">
        <v>2</v>
      </c>
    </row>
    <row r="25" customFormat="false" ht="18" hidden="false" customHeight="true" outlineLevel="0" collapsed="false">
      <c r="A25" s="28" t="s">
        <v>65</v>
      </c>
      <c r="B25" s="29" t="n">
        <f aca="false">SUM(B26:B28)</f>
        <v>6</v>
      </c>
      <c r="C25" s="28"/>
      <c r="D25" s="30" t="n">
        <f aca="false">SUM(D26:D28)</f>
        <v>6</v>
      </c>
    </row>
    <row r="26" customFormat="false" ht="16.5" hidden="false" customHeight="true" outlineLevel="0" collapsed="false">
      <c r="A26" s="31" t="s">
        <v>66</v>
      </c>
      <c r="B26" s="32" t="n">
        <v>2</v>
      </c>
      <c r="C26" s="31"/>
      <c r="D26" s="33" t="n">
        <v>2</v>
      </c>
    </row>
    <row r="27" customFormat="false" ht="15" hidden="false" customHeight="true" outlineLevel="0" collapsed="false">
      <c r="A27" s="31" t="s">
        <v>67</v>
      </c>
      <c r="B27" s="32" t="n">
        <v>2</v>
      </c>
      <c r="C27" s="31"/>
      <c r="D27" s="33" t="n">
        <v>2</v>
      </c>
    </row>
    <row r="28" customFormat="false" ht="15" hidden="false" customHeight="true" outlineLevel="0" collapsed="false">
      <c r="A28" s="31" t="s">
        <v>68</v>
      </c>
      <c r="B28" s="32" t="n">
        <v>2</v>
      </c>
      <c r="C28" s="31"/>
      <c r="D28" s="33" t="n">
        <v>2</v>
      </c>
    </row>
    <row r="29" customFormat="false" ht="19.5" hidden="false" customHeight="true" outlineLevel="0" collapsed="false">
      <c r="A29" s="25" t="s">
        <v>69</v>
      </c>
      <c r="B29" s="26" t="n">
        <f aca="false">B30+B34+B40+B44+B49+B53+B58+B63</f>
        <v>55</v>
      </c>
      <c r="C29" s="25"/>
      <c r="D29" s="27" t="n">
        <f aca="false">IF(D30+D34+D40+D44+D49+D53+D58+D63=0,"",D30+D34+D40+D44+D49+D53+D58+D63)</f>
        <v>45.5</v>
      </c>
    </row>
    <row r="30" customFormat="false" ht="18" hidden="false" customHeight="true" outlineLevel="0" collapsed="false">
      <c r="A30" s="28" t="s">
        <v>70</v>
      </c>
      <c r="B30" s="29" t="n">
        <f aca="false">SUM(B31:B33)</f>
        <v>5</v>
      </c>
      <c r="C30" s="28"/>
      <c r="D30" s="30" t="n">
        <f aca="false">SUM(D31:D33)</f>
        <v>3</v>
      </c>
    </row>
    <row r="31" customFormat="false" ht="15" hidden="false" customHeight="true" outlineLevel="0" collapsed="false">
      <c r="A31" s="31" t="s">
        <v>71</v>
      </c>
      <c r="B31" s="32" t="n">
        <v>2</v>
      </c>
      <c r="C31" s="31"/>
      <c r="D31" s="33" t="n">
        <v>2</v>
      </c>
    </row>
    <row r="32" customFormat="false" ht="15" hidden="false" customHeight="true" outlineLevel="0" collapsed="false">
      <c r="A32" s="31" t="s">
        <v>72</v>
      </c>
      <c r="B32" s="32" t="n">
        <v>2</v>
      </c>
      <c r="C32" s="31"/>
      <c r="D32" s="33" t="n">
        <v>1</v>
      </c>
    </row>
    <row r="33" customFormat="false" ht="15" hidden="false" customHeight="true" outlineLevel="0" collapsed="false">
      <c r="A33" s="31" t="s">
        <v>73</v>
      </c>
      <c r="B33" s="32" t="n">
        <v>1</v>
      </c>
      <c r="C33" s="31"/>
      <c r="D33" s="33" t="n">
        <v>0</v>
      </c>
    </row>
    <row r="34" customFormat="false" ht="18" hidden="false" customHeight="true" outlineLevel="0" collapsed="false">
      <c r="A34" s="28" t="s">
        <v>74</v>
      </c>
      <c r="B34" s="29" t="n">
        <f aca="false">SUM(B35:B39)</f>
        <v>10</v>
      </c>
      <c r="C34" s="28"/>
      <c r="D34" s="30" t="n">
        <f aca="false">SUM(D35:D39)</f>
        <v>9.5</v>
      </c>
    </row>
    <row r="35" customFormat="false" ht="15" hidden="false" customHeight="true" outlineLevel="0" collapsed="false">
      <c r="A35" s="31" t="s">
        <v>75</v>
      </c>
      <c r="B35" s="32" t="n">
        <v>3</v>
      </c>
      <c r="C35" s="31"/>
      <c r="D35" s="33" t="n">
        <v>3</v>
      </c>
    </row>
    <row r="36" customFormat="false" ht="15" hidden="false" customHeight="true" outlineLevel="0" collapsed="false">
      <c r="A36" s="31" t="s">
        <v>76</v>
      </c>
      <c r="B36" s="32" t="n">
        <v>2</v>
      </c>
      <c r="C36" s="31"/>
      <c r="D36" s="33" t="n">
        <v>2</v>
      </c>
    </row>
    <row r="37" customFormat="false" ht="15" hidden="false" customHeight="true" outlineLevel="0" collapsed="false">
      <c r="A37" s="31" t="s">
        <v>77</v>
      </c>
      <c r="B37" s="32" t="n">
        <v>2</v>
      </c>
      <c r="C37" s="31"/>
      <c r="D37" s="33" t="n">
        <v>2</v>
      </c>
    </row>
    <row r="38" customFormat="false" ht="15" hidden="false" customHeight="true" outlineLevel="0" collapsed="false">
      <c r="A38" s="31" t="s">
        <v>78</v>
      </c>
      <c r="B38" s="32" t="n">
        <v>1</v>
      </c>
      <c r="C38" s="31"/>
      <c r="D38" s="33" t="n">
        <v>0.5</v>
      </c>
    </row>
    <row r="39" customFormat="false" ht="15" hidden="false" customHeight="true" outlineLevel="0" collapsed="false">
      <c r="A39" s="31" t="s">
        <v>79</v>
      </c>
      <c r="B39" s="32" t="n">
        <v>2</v>
      </c>
      <c r="C39" s="31"/>
      <c r="D39" s="33" t="n">
        <v>2</v>
      </c>
    </row>
    <row r="40" customFormat="false" ht="18" hidden="false" customHeight="true" outlineLevel="0" collapsed="false">
      <c r="A40" s="28" t="s">
        <v>80</v>
      </c>
      <c r="B40" s="29" t="n">
        <f aca="false">SUM(B41:B43)</f>
        <v>6</v>
      </c>
      <c r="C40" s="28"/>
      <c r="D40" s="30" t="n">
        <f aca="false">SUM(D41:D43)</f>
        <v>6</v>
      </c>
    </row>
    <row r="41" customFormat="false" ht="15" hidden="false" customHeight="true" outlineLevel="0" collapsed="false">
      <c r="A41" s="31" t="s">
        <v>81</v>
      </c>
      <c r="B41" s="32" t="n">
        <v>2</v>
      </c>
      <c r="C41" s="31"/>
      <c r="D41" s="33" t="n">
        <v>2</v>
      </c>
    </row>
    <row r="42" customFormat="false" ht="15" hidden="false" customHeight="true" outlineLevel="0" collapsed="false">
      <c r="A42" s="31" t="s">
        <v>82</v>
      </c>
      <c r="B42" s="32" t="n">
        <v>2</v>
      </c>
      <c r="C42" s="31"/>
      <c r="D42" s="33" t="n">
        <v>2</v>
      </c>
    </row>
    <row r="43" customFormat="false" ht="15" hidden="false" customHeight="true" outlineLevel="0" collapsed="false">
      <c r="A43" s="31" t="s">
        <v>83</v>
      </c>
      <c r="B43" s="32" t="n">
        <v>2</v>
      </c>
      <c r="C43" s="31"/>
      <c r="D43" s="33" t="n">
        <v>2</v>
      </c>
    </row>
    <row r="44" customFormat="false" ht="18" hidden="false" customHeight="true" outlineLevel="0" collapsed="false">
      <c r="A44" s="28" t="s">
        <v>84</v>
      </c>
      <c r="B44" s="29" t="n">
        <f aca="false">SUM(B45:B48)</f>
        <v>8</v>
      </c>
      <c r="C44" s="28"/>
      <c r="D44" s="30" t="n">
        <f aca="false">SUM(D45:D48)</f>
        <v>8</v>
      </c>
    </row>
    <row r="45" customFormat="false" ht="15" hidden="false" customHeight="true" outlineLevel="0" collapsed="false">
      <c r="A45" s="31" t="s">
        <v>85</v>
      </c>
      <c r="B45" s="32" t="n">
        <v>2</v>
      </c>
      <c r="C45" s="31"/>
      <c r="D45" s="33" t="n">
        <v>2</v>
      </c>
    </row>
    <row r="46" customFormat="false" ht="15" hidden="false" customHeight="true" outlineLevel="0" collapsed="false">
      <c r="A46" s="31" t="s">
        <v>86</v>
      </c>
      <c r="B46" s="32" t="n">
        <v>3</v>
      </c>
      <c r="C46" s="31"/>
      <c r="D46" s="33" t="n">
        <v>3</v>
      </c>
    </row>
    <row r="47" customFormat="false" ht="15" hidden="false" customHeight="true" outlineLevel="0" collapsed="false">
      <c r="A47" s="31" t="s">
        <v>87</v>
      </c>
      <c r="B47" s="32" t="n">
        <v>2</v>
      </c>
      <c r="C47" s="31"/>
      <c r="D47" s="33" t="n">
        <v>2</v>
      </c>
    </row>
    <row r="48" customFormat="false" ht="15" hidden="false" customHeight="true" outlineLevel="0" collapsed="false">
      <c r="A48" s="31" t="s">
        <v>88</v>
      </c>
      <c r="B48" s="32" t="n">
        <v>1</v>
      </c>
      <c r="C48" s="31"/>
      <c r="D48" s="33" t="n">
        <v>1</v>
      </c>
    </row>
    <row r="49" customFormat="false" ht="18" hidden="false" customHeight="true" outlineLevel="0" collapsed="false">
      <c r="A49" s="28" t="s">
        <v>89</v>
      </c>
      <c r="B49" s="29" t="n">
        <f aca="false">SUM(B50:B52)</f>
        <v>6</v>
      </c>
      <c r="C49" s="28"/>
      <c r="D49" s="30" t="n">
        <f aca="false">SUM(D50:D52)</f>
        <v>6</v>
      </c>
    </row>
    <row r="50" customFormat="false" ht="15" hidden="false" customHeight="true" outlineLevel="0" collapsed="false">
      <c r="A50" s="31" t="s">
        <v>90</v>
      </c>
      <c r="B50" s="32" t="n">
        <v>2</v>
      </c>
      <c r="C50" s="31"/>
      <c r="D50" s="33" t="n">
        <v>2</v>
      </c>
    </row>
    <row r="51" customFormat="false" ht="15" hidden="false" customHeight="true" outlineLevel="0" collapsed="false">
      <c r="A51" s="31" t="s">
        <v>91</v>
      </c>
      <c r="B51" s="32" t="n">
        <v>2</v>
      </c>
      <c r="C51" s="31"/>
      <c r="D51" s="33" t="n">
        <v>2</v>
      </c>
    </row>
    <row r="52" customFormat="false" ht="15" hidden="false" customHeight="true" outlineLevel="0" collapsed="false">
      <c r="A52" s="31" t="s">
        <v>92</v>
      </c>
      <c r="B52" s="32" t="n">
        <v>2</v>
      </c>
      <c r="C52" s="31"/>
      <c r="D52" s="33" t="n">
        <v>2</v>
      </c>
    </row>
    <row r="53" customFormat="false" ht="18" hidden="false" customHeight="true" outlineLevel="0" collapsed="false">
      <c r="A53" s="28" t="s">
        <v>93</v>
      </c>
      <c r="B53" s="29" t="n">
        <f aca="false">SUM(B54:B57)</f>
        <v>8</v>
      </c>
      <c r="C53" s="28"/>
      <c r="D53" s="30" t="n">
        <f aca="false">SUM(D54:D57)</f>
        <v>7</v>
      </c>
    </row>
    <row r="54" customFormat="false" ht="15" hidden="false" customHeight="true" outlineLevel="0" collapsed="false">
      <c r="A54" s="31" t="s">
        <v>94</v>
      </c>
      <c r="B54" s="32" t="n">
        <v>2</v>
      </c>
      <c r="C54" s="31"/>
      <c r="D54" s="33" t="n">
        <v>2</v>
      </c>
    </row>
    <row r="55" customFormat="false" ht="15" hidden="false" customHeight="true" outlineLevel="0" collapsed="false">
      <c r="A55" s="31" t="s">
        <v>95</v>
      </c>
      <c r="B55" s="32" t="n">
        <v>3</v>
      </c>
      <c r="C55" s="31"/>
      <c r="D55" s="33" t="n">
        <v>3</v>
      </c>
    </row>
    <row r="56" customFormat="false" ht="15" hidden="false" customHeight="true" outlineLevel="0" collapsed="false">
      <c r="A56" s="31" t="s">
        <v>96</v>
      </c>
      <c r="B56" s="32" t="n">
        <v>2</v>
      </c>
      <c r="C56" s="31"/>
      <c r="D56" s="33" t="n">
        <v>2</v>
      </c>
    </row>
    <row r="57" customFormat="false" ht="15" hidden="false" customHeight="true" outlineLevel="0" collapsed="false">
      <c r="A57" s="31" t="s">
        <v>97</v>
      </c>
      <c r="B57" s="32" t="n">
        <v>1</v>
      </c>
      <c r="C57" s="31"/>
      <c r="D57" s="33" t="n">
        <v>0</v>
      </c>
    </row>
    <row r="58" customFormat="false" ht="18" hidden="false" customHeight="true" outlineLevel="0" collapsed="false">
      <c r="A58" s="28" t="s">
        <v>98</v>
      </c>
      <c r="B58" s="29" t="n">
        <f aca="false">SUM(B59:B62)</f>
        <v>6</v>
      </c>
      <c r="C58" s="28"/>
      <c r="D58" s="30" t="n">
        <f aca="false">SUM(D59:D62)</f>
        <v>0</v>
      </c>
    </row>
    <row r="59" customFormat="false" ht="15" hidden="false" customHeight="true" outlineLevel="0" collapsed="false">
      <c r="A59" s="31" t="s">
        <v>99</v>
      </c>
      <c r="B59" s="32" t="n">
        <v>2</v>
      </c>
      <c r="C59" s="31"/>
      <c r="D59" s="33" t="n">
        <v>0</v>
      </c>
    </row>
    <row r="60" customFormat="false" ht="15" hidden="false" customHeight="true" outlineLevel="0" collapsed="false">
      <c r="A60" s="31" t="s">
        <v>100</v>
      </c>
      <c r="B60" s="32" t="n">
        <v>2</v>
      </c>
      <c r="C60" s="31"/>
      <c r="D60" s="33" t="n">
        <v>0</v>
      </c>
    </row>
    <row r="61" customFormat="false" ht="15" hidden="false" customHeight="true" outlineLevel="0" collapsed="false">
      <c r="A61" s="31" t="s">
        <v>101</v>
      </c>
      <c r="B61" s="32" t="n">
        <v>1</v>
      </c>
      <c r="C61" s="31"/>
      <c r="D61" s="33" t="n">
        <v>0</v>
      </c>
    </row>
    <row r="62" customFormat="false" ht="15" hidden="false" customHeight="true" outlineLevel="0" collapsed="false">
      <c r="A62" s="31" t="s">
        <v>102</v>
      </c>
      <c r="B62" s="32" t="n">
        <v>1</v>
      </c>
      <c r="C62" s="31"/>
      <c r="D62" s="33" t="n">
        <v>0</v>
      </c>
    </row>
    <row r="63" customFormat="false" ht="15" hidden="false" customHeight="true" outlineLevel="0" collapsed="false">
      <c r="A63" s="28" t="s">
        <v>103</v>
      </c>
      <c r="B63" s="29" t="n">
        <f aca="false">SUM(B64:B65)</f>
        <v>6</v>
      </c>
      <c r="C63" s="28"/>
      <c r="D63" s="30" t="n">
        <f aca="false">SUM(D64:D65)</f>
        <v>6</v>
      </c>
    </row>
    <row r="64" customFormat="false" ht="15" hidden="false" customHeight="true" outlineLevel="0" collapsed="false">
      <c r="A64" s="31" t="s">
        <v>104</v>
      </c>
      <c r="B64" s="32" t="n">
        <v>3</v>
      </c>
      <c r="C64" s="31"/>
      <c r="D64" s="33" t="n">
        <v>3</v>
      </c>
    </row>
    <row r="65" customFormat="false" ht="15" hidden="false" customHeight="true" outlineLevel="0" collapsed="false">
      <c r="A65" s="31" t="s">
        <v>105</v>
      </c>
      <c r="B65" s="32" t="n">
        <v>3</v>
      </c>
      <c r="C65" s="31"/>
      <c r="D65" s="33" t="n">
        <v>3</v>
      </c>
    </row>
    <row r="66" customFormat="false" ht="19.5" hidden="false" customHeight="true" outlineLevel="0" collapsed="false">
      <c r="A66" s="25" t="s">
        <v>106</v>
      </c>
      <c r="B66" s="26" t="n">
        <f aca="false">B67+B73</f>
        <v>25</v>
      </c>
      <c r="C66" s="25"/>
      <c r="D66" s="27" t="n">
        <f aca="false">IF(D67+D73=0,"",D67+D73)</f>
        <v>16</v>
      </c>
    </row>
    <row r="67" customFormat="false" ht="18" hidden="false" customHeight="true" outlineLevel="0" collapsed="false">
      <c r="A67" s="28" t="s">
        <v>107</v>
      </c>
      <c r="B67" s="29" t="n">
        <f aca="false">SUM(B68:B72)</f>
        <v>10</v>
      </c>
      <c r="C67" s="28"/>
      <c r="D67" s="30" t="n">
        <f aca="false">IF(SUM(D68:D72)=0,"",SUM(D68:D72))</f>
        <v>10</v>
      </c>
    </row>
    <row r="68" customFormat="false" ht="15" hidden="false" customHeight="true" outlineLevel="0" collapsed="false">
      <c r="A68" s="31" t="s">
        <v>108</v>
      </c>
      <c r="B68" s="32" t="n">
        <v>2</v>
      </c>
      <c r="C68" s="31"/>
      <c r="D68" s="33" t="n">
        <v>2</v>
      </c>
    </row>
    <row r="69" customFormat="false" ht="15" hidden="false" customHeight="true" outlineLevel="0" collapsed="false">
      <c r="A69" s="31" t="s">
        <v>109</v>
      </c>
      <c r="B69" s="32" t="n">
        <v>2</v>
      </c>
      <c r="C69" s="31"/>
      <c r="D69" s="33" t="n">
        <v>2</v>
      </c>
    </row>
    <row r="70" customFormat="false" ht="15" hidden="false" customHeight="true" outlineLevel="0" collapsed="false">
      <c r="A70" s="31" t="s">
        <v>110</v>
      </c>
      <c r="B70" s="32" t="n">
        <v>2</v>
      </c>
      <c r="C70" s="31"/>
      <c r="D70" s="33" t="n">
        <v>2</v>
      </c>
    </row>
    <row r="71" customFormat="false" ht="15" hidden="false" customHeight="true" outlineLevel="0" collapsed="false">
      <c r="A71" s="31" t="s">
        <v>111</v>
      </c>
      <c r="B71" s="32" t="n">
        <v>2</v>
      </c>
      <c r="C71" s="31"/>
      <c r="D71" s="33" t="n">
        <v>2</v>
      </c>
    </row>
    <row r="72" customFormat="false" ht="15" hidden="false" customHeight="true" outlineLevel="0" collapsed="false">
      <c r="A72" s="31" t="s">
        <v>112</v>
      </c>
      <c r="B72" s="32" t="n">
        <v>2</v>
      </c>
      <c r="C72" s="31"/>
      <c r="D72" s="33" t="n">
        <v>2</v>
      </c>
    </row>
    <row r="73" customFormat="false" ht="18" hidden="false" customHeight="true" outlineLevel="0" collapsed="false">
      <c r="A73" s="28" t="s">
        <v>113</v>
      </c>
      <c r="B73" s="29" t="n">
        <f aca="false">SUM(B74:B76)</f>
        <v>15</v>
      </c>
      <c r="C73" s="28"/>
      <c r="D73" s="30" t="n">
        <f aca="false">IF(SUM(D74:D76)=0,"",SUM(D74:D76))</f>
        <v>6</v>
      </c>
    </row>
    <row r="74" customFormat="false" ht="15" hidden="false" customHeight="true" outlineLevel="0" collapsed="false">
      <c r="A74" s="31" t="s">
        <v>114</v>
      </c>
      <c r="B74" s="32" t="n">
        <v>5</v>
      </c>
      <c r="C74" s="31"/>
      <c r="D74" s="33" t="n">
        <v>5</v>
      </c>
    </row>
    <row r="75" customFormat="false" ht="15" hidden="false" customHeight="true" outlineLevel="0" collapsed="false">
      <c r="A75" s="31" t="s">
        <v>115</v>
      </c>
      <c r="B75" s="32" t="n">
        <v>5</v>
      </c>
      <c r="C75" s="31"/>
      <c r="D75" s="33" t="n">
        <v>0</v>
      </c>
    </row>
    <row r="76" customFormat="false" ht="15" hidden="false" customHeight="true" outlineLevel="0" collapsed="false">
      <c r="A76" s="31" t="s">
        <v>116</v>
      </c>
      <c r="B76" s="32" t="n">
        <v>5</v>
      </c>
      <c r="C76" s="31"/>
      <c r="D76" s="33" t="n">
        <v>1</v>
      </c>
    </row>
    <row r="77" customFormat="false" ht="19.5" hidden="false" customHeight="true" outlineLevel="0" collapsed="false">
      <c r="A77" s="34" t="s">
        <v>117</v>
      </c>
      <c r="B77" s="35" t="n">
        <f aca="false">B15+B29+B66</f>
        <v>100</v>
      </c>
      <c r="C77" s="36"/>
      <c r="D77" s="16" t="n">
        <f aca="false">IF(D15+D29+D66=0,"",D15+D29+D66)</f>
        <v>81.5</v>
      </c>
    </row>
    <row r="78" customFormat="false" ht="1.5" hidden="false" customHeight="true" outlineLevel="0" collapsed="false">
      <c r="A78" s="18"/>
      <c r="B78" s="18"/>
      <c r="C78" s="18"/>
      <c r="D78" s="18"/>
    </row>
    <row r="79" customFormat="false" ht="15.75" hidden="false" customHeight="true" outlineLevel="0" collapsed="false">
      <c r="A79" s="17" t="s">
        <v>118</v>
      </c>
      <c r="B79" s="18"/>
      <c r="C79" s="18"/>
      <c r="D79" s="18"/>
    </row>
    <row r="80" customFormat="false" ht="15.75" hidden="false" customHeight="true" outlineLevel="0" collapsed="false">
      <c r="A80" s="24" t="s">
        <v>119</v>
      </c>
      <c r="B80" s="24" t="s">
        <v>120</v>
      </c>
      <c r="C80" s="24" t="s">
        <v>53</v>
      </c>
      <c r="D80" s="24"/>
    </row>
    <row r="81" customFormat="false" ht="15.75" hidden="false" customHeight="true" outlineLevel="0" collapsed="false">
      <c r="A81" s="31" t="s">
        <v>121</v>
      </c>
      <c r="B81" s="4"/>
      <c r="C81" s="37"/>
      <c r="D81" s="38"/>
    </row>
    <row r="82" customFormat="false" ht="15.75" hidden="false" customHeight="true" outlineLevel="0" collapsed="false">
      <c r="A82" s="31" t="s">
        <v>122</v>
      </c>
      <c r="B82" s="4"/>
      <c r="C82" s="37"/>
      <c r="D82" s="38"/>
    </row>
    <row r="83" customFormat="false" ht="15.75" hidden="false" customHeight="true" outlineLevel="0" collapsed="false">
      <c r="A83" s="31" t="s">
        <v>123</v>
      </c>
      <c r="B83" s="4"/>
      <c r="C83" s="37"/>
      <c r="D83" s="38"/>
    </row>
    <row r="84" customFormat="false" ht="15.75" hidden="false" customHeight="true" outlineLevel="0" collapsed="false">
      <c r="A84" s="31" t="s">
        <v>124</v>
      </c>
      <c r="B84" s="4"/>
      <c r="C84" s="37"/>
      <c r="D84" s="38"/>
    </row>
    <row r="85" customFormat="false" ht="15.75" hidden="false" customHeight="true" outlineLevel="0" collapsed="false">
      <c r="A85" s="31" t="s">
        <v>125</v>
      </c>
      <c r="B85" s="4"/>
      <c r="C85" s="37"/>
      <c r="D85" s="38"/>
    </row>
    <row r="86" customFormat="false" ht="15.75" hidden="false" customHeight="true" outlineLevel="0" collapsed="false">
      <c r="A86" s="31" t="s">
        <v>126</v>
      </c>
      <c r="B86" s="4"/>
      <c r="C86" s="37"/>
      <c r="D86" s="38"/>
    </row>
    <row r="87" customFormat="false" ht="1.5" hidden="false" customHeight="true" outlineLevel="0" collapsed="false">
      <c r="A87" s="18"/>
      <c r="B87" s="18"/>
      <c r="C87" s="18"/>
      <c r="D87" s="18"/>
    </row>
    <row r="88" customFormat="false" ht="15.75" hidden="false" customHeight="true" outlineLevel="0" collapsed="false">
      <c r="A88" s="17" t="s">
        <v>127</v>
      </c>
      <c r="B88" s="18"/>
      <c r="C88" s="18"/>
      <c r="D88" s="18"/>
    </row>
    <row r="89" customFormat="false" ht="15.75" hidden="false" customHeight="true" outlineLevel="0" collapsed="false">
      <c r="A89" s="24" t="s">
        <v>128</v>
      </c>
      <c r="B89" s="24" t="s">
        <v>8</v>
      </c>
      <c r="C89" s="24" t="s">
        <v>129</v>
      </c>
      <c r="D89" s="24" t="s">
        <v>130</v>
      </c>
    </row>
    <row r="90" customFormat="false" ht="15.75" hidden="false" customHeight="true" outlineLevel="0" collapsed="false">
      <c r="A90" s="31" t="s">
        <v>131</v>
      </c>
      <c r="B90" s="39" t="n">
        <v>-0.3</v>
      </c>
      <c r="C90" s="4"/>
      <c r="D90" s="8" t="str">
        <f aca="false">IF(C90="Sí",$D$77*B90,"")</f>
        <v/>
      </c>
    </row>
    <row r="91" customFormat="false" ht="15.75" hidden="false" customHeight="true" outlineLevel="0" collapsed="false">
      <c r="A91" s="31" t="s">
        <v>132</v>
      </c>
      <c r="B91" s="39" t="n">
        <v>-0.2</v>
      </c>
      <c r="C91" s="4"/>
      <c r="D91" s="8" t="str">
        <f aca="false">IF(C91="Sí",$D$77*B91,"")</f>
        <v/>
      </c>
    </row>
    <row r="92" customFormat="false" ht="15.75" hidden="false" customHeight="true" outlineLevel="0" collapsed="false">
      <c r="A92" s="31" t="s">
        <v>133</v>
      </c>
      <c r="B92" s="39" t="n">
        <v>-1</v>
      </c>
      <c r="C92" s="4"/>
      <c r="D92" s="8" t="str">
        <f aca="false">IF(C92="Sí",$D$77*B92,"")</f>
        <v/>
      </c>
    </row>
    <row r="93" customFormat="false" ht="15.75" hidden="false" customHeight="true" outlineLevel="0" collapsed="false">
      <c r="A93" s="31" t="s">
        <v>134</v>
      </c>
      <c r="B93" s="39" t="n">
        <v>-0.2</v>
      </c>
      <c r="C93" s="4"/>
      <c r="D93" s="8" t="str">
        <f aca="false">IF(C93="Sí",$D$77*B93,"")</f>
        <v/>
      </c>
    </row>
    <row r="94" customFormat="false" ht="15.75" hidden="false" customHeight="true" outlineLevel="0" collapsed="false">
      <c r="A94" s="31" t="s">
        <v>135</v>
      </c>
      <c r="B94" s="39" t="n">
        <v>-1</v>
      </c>
      <c r="C94" s="4"/>
      <c r="D94" s="8" t="str">
        <f aca="false">IF(C94="Sí",$D$77*B94,"")</f>
        <v/>
      </c>
    </row>
    <row r="95" customFormat="false" ht="15.75" hidden="false" customHeight="true" outlineLevel="0" collapsed="false">
      <c r="A95" s="31" t="s">
        <v>136</v>
      </c>
      <c r="B95" s="39" t="n">
        <v>-0.75</v>
      </c>
      <c r="C95" s="4"/>
      <c r="D95" s="8" t="str">
        <f aca="false">IF(C95="Sí",$D$77*B95,"")</f>
        <v/>
      </c>
    </row>
    <row r="96" customFormat="false" ht="15.75" hidden="false" customHeight="true" outlineLevel="0" collapsed="false">
      <c r="A96" s="31" t="s">
        <v>137</v>
      </c>
      <c r="B96" s="39" t="n">
        <v>-0.75</v>
      </c>
      <c r="C96" s="4"/>
      <c r="D96" s="8" t="str">
        <f aca="false">IF(C96="Sí",$D$77*B96,"")</f>
        <v/>
      </c>
    </row>
    <row r="97" customFormat="false" ht="15.75" hidden="false" customHeight="true" outlineLevel="0" collapsed="false">
      <c r="A97" s="31" t="s">
        <v>138</v>
      </c>
      <c r="B97" s="39" t="n">
        <v>-1</v>
      </c>
      <c r="C97" s="4"/>
      <c r="D97" s="8" t="str">
        <f aca="false">IF(C97="Sí",$D$77*B97,"")</f>
        <v/>
      </c>
    </row>
    <row r="98" customFormat="false" ht="15.75" hidden="false" customHeight="true" outlineLevel="0" collapsed="false">
      <c r="A98" s="31" t="s">
        <v>139</v>
      </c>
      <c r="B98" s="39" t="n">
        <v>-0.5</v>
      </c>
      <c r="C98" s="4"/>
      <c r="D98" s="8" t="str">
        <f aca="false">IF(C98="Sí",$D$77*B98,"")</f>
        <v/>
      </c>
    </row>
    <row r="99" customFormat="false" ht="15.75" hidden="false" customHeight="true" outlineLevel="0" collapsed="false">
      <c r="A99" s="31" t="s">
        <v>140</v>
      </c>
      <c r="B99" s="39" t="n">
        <v>-1</v>
      </c>
      <c r="C99" s="4"/>
      <c r="D99" s="8" t="str">
        <f aca="false">IF(C99="Sí",$D$77*B99,"")</f>
        <v/>
      </c>
    </row>
    <row r="100" customFormat="false" ht="15.75" hidden="false" customHeight="true" outlineLevel="0" collapsed="false">
      <c r="A100" s="31" t="s">
        <v>141</v>
      </c>
      <c r="B100" s="39" t="n">
        <v>-1</v>
      </c>
      <c r="C100" s="4"/>
      <c r="D100" s="8" t="str">
        <f aca="false">IF(C100="Sí",$D$77*B100,"")</f>
        <v/>
      </c>
    </row>
    <row r="101" customFormat="false" ht="15.75" hidden="false" customHeight="true" outlineLevel="0" collapsed="false">
      <c r="A101" s="31" t="s">
        <v>142</v>
      </c>
      <c r="B101" s="39" t="n">
        <v>-0.25</v>
      </c>
      <c r="C101" s="4"/>
      <c r="D101" s="8" t="str">
        <f aca="false">IF(C101="Sí",$D$77*B101,"")</f>
        <v/>
      </c>
    </row>
    <row r="102" customFormat="false" ht="15.75" hidden="false" customHeight="true" outlineLevel="0" collapsed="false">
      <c r="A102" s="31" t="s">
        <v>143</v>
      </c>
      <c r="B102" s="39" t="n">
        <v>-1</v>
      </c>
      <c r="C102" s="4"/>
      <c r="D102" s="8" t="str">
        <f aca="false">IF(C102="Sí",$D$77*B102,"")</f>
        <v/>
      </c>
    </row>
    <row r="103" customFormat="false" ht="15.75" hidden="false" customHeight="true" outlineLevel="0" collapsed="false">
      <c r="A103" s="31" t="s">
        <v>144</v>
      </c>
      <c r="B103" s="39" t="n">
        <v>-1</v>
      </c>
      <c r="C103" s="4"/>
      <c r="D103" s="8" t="str">
        <f aca="false">IF(C103="Sí",$D$77*B103,"")</f>
        <v/>
      </c>
    </row>
    <row r="104" customFormat="false" ht="15.75" hidden="false" customHeight="true" outlineLevel="0" collapsed="false">
      <c r="A104" s="31" t="s">
        <v>145</v>
      </c>
      <c r="B104" s="39" t="n">
        <v>-1</v>
      </c>
      <c r="C104" s="4"/>
      <c r="D104" s="8" t="str">
        <f aca="false">IF(C104="Sí",$D$77*B104,"")</f>
        <v/>
      </c>
    </row>
    <row r="105" customFormat="false" ht="15.75" hidden="false" customHeight="true" outlineLevel="0" collapsed="false">
      <c r="A105" s="31" t="s">
        <v>146</v>
      </c>
      <c r="B105" s="39" t="n">
        <v>-1</v>
      </c>
      <c r="C105" s="4"/>
      <c r="D105" s="8" t="str">
        <f aca="false">IF(C105="Sí",$D$77*B105,"")</f>
        <v/>
      </c>
    </row>
    <row r="106" customFormat="false" ht="15.75" hidden="false" customHeight="true" outlineLevel="0" collapsed="false">
      <c r="A106" s="34" t="s">
        <v>147</v>
      </c>
      <c r="B106" s="36"/>
      <c r="C106" s="36"/>
      <c r="D106" s="16" t="str">
        <f aca="false">IF(SUM(D90:D105)=0,"",SUM(D90:D105))</f>
        <v/>
      </c>
    </row>
    <row r="107" customFormat="false" ht="1.5" hidden="false" customHeight="true" outlineLevel="0" collapsed="false">
      <c r="A107" s="18"/>
      <c r="B107" s="18"/>
      <c r="C107" s="18"/>
      <c r="D107" s="18"/>
    </row>
    <row r="108" customFormat="false" ht="21.75" hidden="false" customHeight="true" outlineLevel="0" collapsed="false">
      <c r="A108" s="40" t="s">
        <v>148</v>
      </c>
      <c r="B108" s="41"/>
      <c r="C108" s="41"/>
      <c r="D108" s="42" t="e">
        <f aca="false">IF(MAX(0,ROUND($D$77+$D$106,2))=0,"",MAX(0,ROUND($D$77+$D$106,2)))</f>
        <v>#VALUE!</v>
      </c>
    </row>
    <row r="109" customFormat="false" ht="1.5" hidden="false" customHeight="true" outlineLevel="0" collapsed="false">
      <c r="A109" s="18"/>
      <c r="B109" s="18"/>
      <c r="C109" s="18"/>
      <c r="D109" s="18"/>
    </row>
    <row r="110" customFormat="false" ht="15.75" hidden="false" customHeight="true" outlineLevel="0" collapsed="false">
      <c r="A110" s="43" t="s">
        <v>149</v>
      </c>
      <c r="B110" s="18"/>
      <c r="C110" s="18"/>
      <c r="D110" s="18"/>
    </row>
    <row r="111" customFormat="false" ht="18" hidden="false" customHeight="true" outlineLevel="0" collapsed="false">
      <c r="A111" s="37"/>
      <c r="B111" s="37"/>
      <c r="C111" s="37"/>
      <c r="D111" s="37"/>
    </row>
    <row r="112" customFormat="false" ht="18" hidden="false" customHeight="true" outlineLevel="0" collapsed="false">
      <c r="A112" s="37"/>
      <c r="B112" s="37"/>
      <c r="C112" s="37"/>
      <c r="D112" s="37"/>
    </row>
    <row r="113" customFormat="false" ht="3" hidden="false" customHeight="true" outlineLevel="0" collapsed="false">
      <c r="A113" s="18"/>
      <c r="B113" s="18"/>
      <c r="C113" s="18"/>
      <c r="D113" s="18"/>
    </row>
    <row r="114" customFormat="false" ht="12" hidden="false" customHeight="true" outlineLevel="0" collapsed="false">
      <c r="A114" s="18"/>
      <c r="B114" s="18"/>
      <c r="C114" s="18"/>
      <c r="D114" s="18"/>
    </row>
    <row r="115" customFormat="false" ht="8.25" hidden="false" customHeight="true" outlineLevel="0" collapsed="false">
      <c r="A115" s="44" t="s">
        <v>150</v>
      </c>
      <c r="B115" s="18"/>
      <c r="C115" s="44" t="s">
        <v>150</v>
      </c>
      <c r="D115" s="18"/>
    </row>
    <row r="116" customFormat="false" ht="13.5" hidden="false" customHeight="true" outlineLevel="0" collapsed="false">
      <c r="A116" s="44" t="s">
        <v>151</v>
      </c>
      <c r="B116" s="18"/>
      <c r="C116" s="44" t="s">
        <v>152</v>
      </c>
      <c r="D116" s="18"/>
    </row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</sheetData>
  <mergeCells count="8">
    <mergeCell ref="A8:D8"/>
    <mergeCell ref="A10:B10"/>
    <mergeCell ref="C10:D10"/>
    <mergeCell ref="A11:B11"/>
    <mergeCell ref="C11:D11"/>
    <mergeCell ref="A12:B12"/>
    <mergeCell ref="A111:D111"/>
    <mergeCell ref="A112:D112"/>
  </mergeCells>
  <conditionalFormatting sqref="D15:D76">
    <cfRule type="cellIs" priority="2" operator="greaterThan" aboveAverage="0" equalAverage="0" bottom="0" percent="0" rank="0" text="" dxfId="10">
      <formula>B15</formula>
    </cfRule>
  </conditionalFormatting>
  <dataValidations count="1">
    <dataValidation allowBlank="true" errorStyle="stop" operator="equal" showDropDown="false" showErrorMessage="false" showInputMessage="false" sqref="B81:B86 C90:C105" type="list">
      <formula1>"Sí,No"</formula1>
      <formula2>0</formula2>
    </dataValidation>
  </dataValidations>
  <printOptions headings="false" gridLines="false" gridLinesSet="true" horizontalCentered="true" verticalCentered="false"/>
  <pageMargins left="0.39375" right="0.39375" top="0.196527777777778" bottom="0.196527777777778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86"/>
  <sheetViews>
    <sheetView showFormulas="false" showGridLines="false" showRowColHeaders="true" showZeros="true" rightToLeft="false" tabSelected="false" showOutlineSymbols="true" defaultGridColor="true" view="normal" topLeftCell="A61" colorId="64" zoomScale="100" zoomScaleNormal="100" zoomScalePageLayoutView="100" workbookViewId="0">
      <selection pane="topLeft" activeCell="D77" activeCellId="0" sqref="D77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87.43"/>
    <col collapsed="false" customWidth="true" hidden="false" outlineLevel="0" max="2" min="2" style="1" width="11"/>
    <col collapsed="false" customWidth="true" hidden="false" outlineLevel="0" max="3" min="3" style="1" width="34"/>
    <col collapsed="false" customWidth="true" hidden="false" outlineLevel="0" max="4" min="4" style="1" width="11"/>
    <col collapsed="false" customWidth="true" hidden="false" outlineLevel="0" max="26" min="5" style="1" width="8.71"/>
  </cols>
  <sheetData>
    <row r="1" customFormat="false" ht="13.8" hidden="false" customHeight="false" outlineLevel="0" collapsed="false">
      <c r="A1" s="17" t="s">
        <v>41</v>
      </c>
      <c r="B1" s="18"/>
      <c r="C1" s="18"/>
      <c r="D1" s="18"/>
    </row>
    <row r="2" customFormat="false" ht="13.8" hidden="false" customHeight="false" outlineLevel="0" collapsed="false">
      <c r="A2" s="17" t="s">
        <v>42</v>
      </c>
      <c r="B2" s="18"/>
      <c r="C2" s="18"/>
      <c r="D2" s="18"/>
    </row>
    <row r="3" customFormat="false" ht="13.8" hidden="false" customHeight="false" outlineLevel="0" collapsed="false">
      <c r="A3" s="17" t="s">
        <v>43</v>
      </c>
      <c r="B3" s="18"/>
      <c r="C3" s="18"/>
      <c r="D3" s="18"/>
    </row>
    <row r="4" customFormat="false" ht="13.8" hidden="false" customHeight="false" outlineLevel="0" collapsed="false">
      <c r="A4" s="17" t="s">
        <v>44</v>
      </c>
      <c r="B4" s="18"/>
      <c r="C4" s="18"/>
      <c r="D4" s="18"/>
    </row>
    <row r="5" customFormat="false" ht="13.8" hidden="false" customHeight="false" outlineLevel="0" collapsed="false">
      <c r="A5" s="17" t="s">
        <v>45</v>
      </c>
      <c r="B5" s="18"/>
      <c r="C5" s="18"/>
      <c r="D5" s="18"/>
    </row>
    <row r="6" customFormat="false" ht="13.8" hidden="false" customHeight="false" outlineLevel="0" collapsed="false">
      <c r="A6" s="17" t="s">
        <v>46</v>
      </c>
      <c r="B6" s="18"/>
      <c r="C6" s="18"/>
      <c r="D6" s="18"/>
    </row>
    <row r="7" customFormat="false" ht="13.8" hidden="false" customHeight="false" outlineLevel="0" collapsed="false">
      <c r="A7" s="17"/>
      <c r="B7" s="18"/>
      <c r="C7" s="18"/>
      <c r="D7" s="18"/>
    </row>
    <row r="8" customFormat="false" ht="13.8" hidden="false" customHeight="false" outlineLevel="0" collapsed="false">
      <c r="A8" s="19" t="s">
        <v>47</v>
      </c>
      <c r="B8" s="19"/>
      <c r="C8" s="19"/>
      <c r="D8" s="19"/>
    </row>
    <row r="9" customFormat="false" ht="13.8" hidden="false" customHeight="false" outlineLevel="0" collapsed="false">
      <c r="A9" s="20"/>
      <c r="B9" s="20"/>
      <c r="C9" s="20"/>
      <c r="D9" s="20"/>
    </row>
    <row r="10" customFormat="false" ht="13.8" hidden="false" customHeight="false" outlineLevel="0" collapsed="false">
      <c r="A10" s="21" t="s">
        <v>48</v>
      </c>
      <c r="B10" s="21"/>
      <c r="C10" s="22" t="n">
        <v>46282</v>
      </c>
      <c r="D10" s="22"/>
    </row>
    <row r="11" customFormat="false" ht="13.8" hidden="false" customHeight="false" outlineLevel="0" collapsed="false">
      <c r="A11" s="21" t="s">
        <v>49</v>
      </c>
      <c r="B11" s="21"/>
      <c r="C11" s="23" t="str">
        <f aca="false">VLOOKUP(C12, Consolidado!$B$3:$C$26, 2, 0)</f>
        <v>ANDY RAÍ TELÓN GABRIEL</v>
      </c>
      <c r="D11" s="23"/>
    </row>
    <row r="12" customFormat="false" ht="13.8" hidden="false" customHeight="false" outlineLevel="0" collapsed="false">
      <c r="A12" s="21" t="s">
        <v>50</v>
      </c>
      <c r="B12" s="21"/>
      <c r="C12" s="45" t="n">
        <v>202403338</v>
      </c>
      <c r="D12" s="23"/>
    </row>
    <row r="13" customFormat="false" ht="13.8" hidden="false" customHeight="false" outlineLevel="0" collapsed="false">
      <c r="A13" s="18"/>
      <c r="B13" s="18"/>
      <c r="C13" s="18"/>
      <c r="D13" s="18"/>
    </row>
    <row r="14" customFormat="false" ht="19.5" hidden="false" customHeight="true" outlineLevel="0" collapsed="false">
      <c r="A14" s="24" t="s">
        <v>51</v>
      </c>
      <c r="B14" s="24" t="s">
        <v>52</v>
      </c>
      <c r="C14" s="24" t="s">
        <v>53</v>
      </c>
      <c r="D14" s="24" t="s">
        <v>54</v>
      </c>
    </row>
    <row r="15" customFormat="false" ht="19.5" hidden="false" customHeight="true" outlineLevel="0" collapsed="false">
      <c r="A15" s="25" t="s">
        <v>55</v>
      </c>
      <c r="B15" s="26" t="n">
        <f aca="false">B16+B21+B25</f>
        <v>20</v>
      </c>
      <c r="C15" s="25"/>
      <c r="D15" s="27" t="n">
        <f aca="false">IF(D16+D21+D25=0,"",D16+D21+D25)</f>
        <v>15</v>
      </c>
    </row>
    <row r="16" customFormat="false" ht="18" hidden="false" customHeight="true" outlineLevel="0" collapsed="false">
      <c r="A16" s="28" t="s">
        <v>56</v>
      </c>
      <c r="B16" s="29" t="n">
        <f aca="false">SUM(B17:B20)</f>
        <v>8</v>
      </c>
      <c r="C16" s="28"/>
      <c r="D16" s="30" t="n">
        <f aca="false">SUM(D17:D20)</f>
        <v>3</v>
      </c>
    </row>
    <row r="17" customFormat="false" ht="15" hidden="false" customHeight="true" outlineLevel="0" collapsed="false">
      <c r="A17" s="31" t="s">
        <v>57</v>
      </c>
      <c r="B17" s="32" t="n">
        <v>2</v>
      </c>
      <c r="C17" s="31"/>
      <c r="D17" s="33" t="n">
        <v>2</v>
      </c>
    </row>
    <row r="18" customFormat="false" ht="15" hidden="false" customHeight="true" outlineLevel="0" collapsed="false">
      <c r="A18" s="31" t="s">
        <v>58</v>
      </c>
      <c r="B18" s="32" t="n">
        <v>2</v>
      </c>
      <c r="C18" s="31"/>
      <c r="D18" s="33" t="n">
        <v>1</v>
      </c>
    </row>
    <row r="19" customFormat="false" ht="15" hidden="false" customHeight="true" outlineLevel="0" collapsed="false">
      <c r="A19" s="31" t="s">
        <v>59</v>
      </c>
      <c r="B19" s="32" t="n">
        <v>2</v>
      </c>
      <c r="C19" s="31"/>
      <c r="D19" s="33" t="n">
        <v>0</v>
      </c>
    </row>
    <row r="20" customFormat="false" ht="15" hidden="false" customHeight="true" outlineLevel="0" collapsed="false">
      <c r="A20" s="31" t="s">
        <v>60</v>
      </c>
      <c r="B20" s="32" t="n">
        <v>2</v>
      </c>
      <c r="C20" s="31"/>
      <c r="D20" s="33" t="n">
        <v>0</v>
      </c>
    </row>
    <row r="21" customFormat="false" ht="18" hidden="false" customHeight="true" outlineLevel="0" collapsed="false">
      <c r="A21" s="28" t="s">
        <v>61</v>
      </c>
      <c r="B21" s="29" t="n">
        <f aca="false">SUM(B22:B24)</f>
        <v>6</v>
      </c>
      <c r="C21" s="28"/>
      <c r="D21" s="30" t="n">
        <f aca="false">SUM(D22:D24)</f>
        <v>6</v>
      </c>
    </row>
    <row r="22" customFormat="false" ht="15" hidden="false" customHeight="true" outlineLevel="0" collapsed="false">
      <c r="A22" s="31" t="s">
        <v>62</v>
      </c>
      <c r="B22" s="32" t="n">
        <v>2</v>
      </c>
      <c r="C22" s="31"/>
      <c r="D22" s="33" t="n">
        <v>2</v>
      </c>
    </row>
    <row r="23" customFormat="false" ht="15" hidden="false" customHeight="true" outlineLevel="0" collapsed="false">
      <c r="A23" s="31" t="s">
        <v>63</v>
      </c>
      <c r="B23" s="32" t="n">
        <v>2</v>
      </c>
      <c r="C23" s="31"/>
      <c r="D23" s="33" t="n">
        <v>2</v>
      </c>
    </row>
    <row r="24" customFormat="false" ht="15" hidden="false" customHeight="true" outlineLevel="0" collapsed="false">
      <c r="A24" s="31" t="s">
        <v>64</v>
      </c>
      <c r="B24" s="32" t="n">
        <v>2</v>
      </c>
      <c r="C24" s="31"/>
      <c r="D24" s="33" t="n">
        <v>2</v>
      </c>
    </row>
    <row r="25" customFormat="false" ht="18" hidden="false" customHeight="true" outlineLevel="0" collapsed="false">
      <c r="A25" s="28" t="s">
        <v>65</v>
      </c>
      <c r="B25" s="29" t="n">
        <f aca="false">SUM(B26:B28)</f>
        <v>6</v>
      </c>
      <c r="C25" s="28"/>
      <c r="D25" s="30" t="n">
        <f aca="false">SUM(D26:D28)</f>
        <v>6</v>
      </c>
    </row>
    <row r="26" customFormat="false" ht="16.5" hidden="false" customHeight="true" outlineLevel="0" collapsed="false">
      <c r="A26" s="31" t="s">
        <v>66</v>
      </c>
      <c r="B26" s="32" t="n">
        <v>2</v>
      </c>
      <c r="C26" s="31"/>
      <c r="D26" s="33" t="n">
        <v>2</v>
      </c>
    </row>
    <row r="27" customFormat="false" ht="15" hidden="false" customHeight="true" outlineLevel="0" collapsed="false">
      <c r="A27" s="31" t="s">
        <v>67</v>
      </c>
      <c r="B27" s="32" t="n">
        <v>2</v>
      </c>
      <c r="C27" s="31"/>
      <c r="D27" s="33" t="n">
        <v>2</v>
      </c>
    </row>
    <row r="28" customFormat="false" ht="15" hidden="false" customHeight="true" outlineLevel="0" collapsed="false">
      <c r="A28" s="31" t="s">
        <v>68</v>
      </c>
      <c r="B28" s="32" t="n">
        <v>2</v>
      </c>
      <c r="C28" s="31"/>
      <c r="D28" s="33" t="n">
        <v>2</v>
      </c>
    </row>
    <row r="29" customFormat="false" ht="19.5" hidden="false" customHeight="true" outlineLevel="0" collapsed="false">
      <c r="A29" s="25" t="s">
        <v>69</v>
      </c>
      <c r="B29" s="26" t="n">
        <f aca="false">B30+B34+B40+B44+B49+B53+B58+B63</f>
        <v>55</v>
      </c>
      <c r="C29" s="25"/>
      <c r="D29" s="27" t="n">
        <f aca="false">IF(D30+D34+D40+D44+D49+D53+D58+D63=0,"",D30+D34+D40+D44+D49+D53+D58+D63)</f>
        <v>50.5</v>
      </c>
    </row>
    <row r="30" customFormat="false" ht="18" hidden="false" customHeight="true" outlineLevel="0" collapsed="false">
      <c r="A30" s="28" t="s">
        <v>70</v>
      </c>
      <c r="B30" s="29" t="n">
        <f aca="false">SUM(B31:B33)</f>
        <v>5</v>
      </c>
      <c r="C30" s="28"/>
      <c r="D30" s="30" t="n">
        <f aca="false">SUM(D31:D33)</f>
        <v>2</v>
      </c>
    </row>
    <row r="31" customFormat="false" ht="15" hidden="false" customHeight="true" outlineLevel="0" collapsed="false">
      <c r="A31" s="31" t="s">
        <v>71</v>
      </c>
      <c r="B31" s="32" t="n">
        <v>2</v>
      </c>
      <c r="C31" s="31"/>
      <c r="D31" s="33" t="n">
        <v>2</v>
      </c>
    </row>
    <row r="32" customFormat="false" ht="15" hidden="false" customHeight="true" outlineLevel="0" collapsed="false">
      <c r="A32" s="31" t="s">
        <v>72</v>
      </c>
      <c r="B32" s="32" t="n">
        <v>2</v>
      </c>
      <c r="C32" s="31"/>
      <c r="D32" s="33" t="n">
        <v>0</v>
      </c>
    </row>
    <row r="33" customFormat="false" ht="15" hidden="false" customHeight="true" outlineLevel="0" collapsed="false">
      <c r="A33" s="31" t="s">
        <v>73</v>
      </c>
      <c r="B33" s="32" t="n">
        <v>1</v>
      </c>
      <c r="C33" s="31"/>
      <c r="D33" s="33" t="n">
        <v>0</v>
      </c>
    </row>
    <row r="34" customFormat="false" ht="18" hidden="false" customHeight="true" outlineLevel="0" collapsed="false">
      <c r="A34" s="28" t="s">
        <v>74</v>
      </c>
      <c r="B34" s="29" t="n">
        <f aca="false">SUM(B35:B39)</f>
        <v>10</v>
      </c>
      <c r="C34" s="28"/>
      <c r="D34" s="30" t="n">
        <f aca="false">SUM(D35:D39)</f>
        <v>10</v>
      </c>
    </row>
    <row r="35" customFormat="false" ht="15" hidden="false" customHeight="true" outlineLevel="0" collapsed="false">
      <c r="A35" s="31" t="s">
        <v>75</v>
      </c>
      <c r="B35" s="32" t="n">
        <v>3</v>
      </c>
      <c r="C35" s="31"/>
      <c r="D35" s="33" t="n">
        <v>3</v>
      </c>
    </row>
    <row r="36" customFormat="false" ht="15" hidden="false" customHeight="true" outlineLevel="0" collapsed="false">
      <c r="A36" s="31" t="s">
        <v>76</v>
      </c>
      <c r="B36" s="32" t="n">
        <v>2</v>
      </c>
      <c r="C36" s="31"/>
      <c r="D36" s="33" t="n">
        <v>2</v>
      </c>
    </row>
    <row r="37" customFormat="false" ht="15" hidden="false" customHeight="true" outlineLevel="0" collapsed="false">
      <c r="A37" s="31" t="s">
        <v>77</v>
      </c>
      <c r="B37" s="32" t="n">
        <v>2</v>
      </c>
      <c r="C37" s="31"/>
      <c r="D37" s="33" t="n">
        <v>2</v>
      </c>
    </row>
    <row r="38" customFormat="false" ht="15" hidden="false" customHeight="true" outlineLevel="0" collapsed="false">
      <c r="A38" s="31" t="s">
        <v>78</v>
      </c>
      <c r="B38" s="32" t="n">
        <v>1</v>
      </c>
      <c r="C38" s="31"/>
      <c r="D38" s="33" t="n">
        <v>1</v>
      </c>
    </row>
    <row r="39" customFormat="false" ht="15" hidden="false" customHeight="true" outlineLevel="0" collapsed="false">
      <c r="A39" s="31" t="s">
        <v>79</v>
      </c>
      <c r="B39" s="32" t="n">
        <v>2</v>
      </c>
      <c r="C39" s="31"/>
      <c r="D39" s="33" t="n">
        <v>2</v>
      </c>
    </row>
    <row r="40" customFormat="false" ht="18" hidden="false" customHeight="true" outlineLevel="0" collapsed="false">
      <c r="A40" s="28" t="s">
        <v>80</v>
      </c>
      <c r="B40" s="29" t="n">
        <f aca="false">SUM(B41:B43)</f>
        <v>6</v>
      </c>
      <c r="C40" s="28"/>
      <c r="D40" s="30" t="n">
        <f aca="false">SUM(D41:D43)</f>
        <v>6</v>
      </c>
    </row>
    <row r="41" customFormat="false" ht="15" hidden="false" customHeight="true" outlineLevel="0" collapsed="false">
      <c r="A41" s="31" t="s">
        <v>81</v>
      </c>
      <c r="B41" s="32" t="n">
        <v>2</v>
      </c>
      <c r="C41" s="31"/>
      <c r="D41" s="33" t="n">
        <v>2</v>
      </c>
    </row>
    <row r="42" customFormat="false" ht="15" hidden="false" customHeight="true" outlineLevel="0" collapsed="false">
      <c r="A42" s="31" t="s">
        <v>82</v>
      </c>
      <c r="B42" s="32" t="n">
        <v>2</v>
      </c>
      <c r="C42" s="31"/>
      <c r="D42" s="33" t="n">
        <v>2</v>
      </c>
    </row>
    <row r="43" customFormat="false" ht="15" hidden="false" customHeight="true" outlineLevel="0" collapsed="false">
      <c r="A43" s="31" t="s">
        <v>83</v>
      </c>
      <c r="B43" s="32" t="n">
        <v>2</v>
      </c>
      <c r="C43" s="31"/>
      <c r="D43" s="33" t="n">
        <v>2</v>
      </c>
    </row>
    <row r="44" customFormat="false" ht="18" hidden="false" customHeight="true" outlineLevel="0" collapsed="false">
      <c r="A44" s="28" t="s">
        <v>84</v>
      </c>
      <c r="B44" s="29" t="n">
        <f aca="false">SUM(B45:B48)</f>
        <v>8</v>
      </c>
      <c r="C44" s="28"/>
      <c r="D44" s="30" t="n">
        <f aca="false">SUM(D45:D48)</f>
        <v>8</v>
      </c>
    </row>
    <row r="45" customFormat="false" ht="15" hidden="false" customHeight="true" outlineLevel="0" collapsed="false">
      <c r="A45" s="31" t="s">
        <v>85</v>
      </c>
      <c r="B45" s="32" t="n">
        <v>2</v>
      </c>
      <c r="C45" s="31"/>
      <c r="D45" s="33" t="n">
        <v>2</v>
      </c>
    </row>
    <row r="46" customFormat="false" ht="15" hidden="false" customHeight="true" outlineLevel="0" collapsed="false">
      <c r="A46" s="31" t="s">
        <v>86</v>
      </c>
      <c r="B46" s="32" t="n">
        <v>3</v>
      </c>
      <c r="C46" s="31"/>
      <c r="D46" s="33" t="n">
        <v>3</v>
      </c>
    </row>
    <row r="47" customFormat="false" ht="15" hidden="false" customHeight="true" outlineLevel="0" collapsed="false">
      <c r="A47" s="31" t="s">
        <v>87</v>
      </c>
      <c r="B47" s="32" t="n">
        <v>2</v>
      </c>
      <c r="C47" s="31"/>
      <c r="D47" s="33" t="n">
        <v>2</v>
      </c>
    </row>
    <row r="48" customFormat="false" ht="15" hidden="false" customHeight="true" outlineLevel="0" collapsed="false">
      <c r="A48" s="31" t="s">
        <v>88</v>
      </c>
      <c r="B48" s="32" t="n">
        <v>1</v>
      </c>
      <c r="C48" s="31"/>
      <c r="D48" s="33" t="n">
        <v>1</v>
      </c>
    </row>
    <row r="49" customFormat="false" ht="18" hidden="false" customHeight="true" outlineLevel="0" collapsed="false">
      <c r="A49" s="28" t="s">
        <v>89</v>
      </c>
      <c r="B49" s="29" t="n">
        <f aca="false">SUM(B50:B52)</f>
        <v>6</v>
      </c>
      <c r="C49" s="28"/>
      <c r="D49" s="30" t="n">
        <f aca="false">SUM(D50:D52)</f>
        <v>5</v>
      </c>
    </row>
    <row r="50" customFormat="false" ht="15" hidden="false" customHeight="true" outlineLevel="0" collapsed="false">
      <c r="A50" s="31" t="s">
        <v>90</v>
      </c>
      <c r="B50" s="32" t="n">
        <v>2</v>
      </c>
      <c r="C50" s="31"/>
      <c r="D50" s="33" t="n">
        <v>2</v>
      </c>
    </row>
    <row r="51" customFormat="false" ht="15" hidden="false" customHeight="true" outlineLevel="0" collapsed="false">
      <c r="A51" s="31" t="s">
        <v>91</v>
      </c>
      <c r="B51" s="32" t="n">
        <v>2</v>
      </c>
      <c r="C51" s="31"/>
      <c r="D51" s="33" t="n">
        <v>1</v>
      </c>
    </row>
    <row r="52" customFormat="false" ht="15" hidden="false" customHeight="true" outlineLevel="0" collapsed="false">
      <c r="A52" s="31" t="s">
        <v>92</v>
      </c>
      <c r="B52" s="32" t="n">
        <v>2</v>
      </c>
      <c r="C52" s="31"/>
      <c r="D52" s="33" t="n">
        <v>2</v>
      </c>
    </row>
    <row r="53" customFormat="false" ht="18" hidden="false" customHeight="true" outlineLevel="0" collapsed="false">
      <c r="A53" s="28" t="s">
        <v>93</v>
      </c>
      <c r="B53" s="29" t="n">
        <f aca="false">SUM(B54:B57)</f>
        <v>8</v>
      </c>
      <c r="C53" s="28"/>
      <c r="D53" s="30" t="n">
        <f aca="false">SUM(D54:D57)</f>
        <v>7.5</v>
      </c>
    </row>
    <row r="54" customFormat="false" ht="15" hidden="false" customHeight="true" outlineLevel="0" collapsed="false">
      <c r="A54" s="31" t="s">
        <v>94</v>
      </c>
      <c r="B54" s="32" t="n">
        <v>2</v>
      </c>
      <c r="C54" s="31"/>
      <c r="D54" s="33" t="n">
        <v>2</v>
      </c>
    </row>
    <row r="55" customFormat="false" ht="15" hidden="false" customHeight="true" outlineLevel="0" collapsed="false">
      <c r="A55" s="31" t="s">
        <v>95</v>
      </c>
      <c r="B55" s="32" t="n">
        <v>3</v>
      </c>
      <c r="C55" s="31"/>
      <c r="D55" s="33" t="n">
        <v>3</v>
      </c>
    </row>
    <row r="56" customFormat="false" ht="15" hidden="false" customHeight="true" outlineLevel="0" collapsed="false">
      <c r="A56" s="31" t="s">
        <v>96</v>
      </c>
      <c r="B56" s="32" t="n">
        <v>2</v>
      </c>
      <c r="C56" s="31"/>
      <c r="D56" s="33" t="n">
        <v>2</v>
      </c>
    </row>
    <row r="57" customFormat="false" ht="15" hidden="false" customHeight="true" outlineLevel="0" collapsed="false">
      <c r="A57" s="31" t="s">
        <v>97</v>
      </c>
      <c r="B57" s="32" t="n">
        <v>1</v>
      </c>
      <c r="C57" s="31"/>
      <c r="D57" s="33" t="n">
        <v>0.5</v>
      </c>
    </row>
    <row r="58" customFormat="false" ht="18" hidden="false" customHeight="true" outlineLevel="0" collapsed="false">
      <c r="A58" s="28" t="s">
        <v>98</v>
      </c>
      <c r="B58" s="29" t="n">
        <f aca="false">SUM(B59:B62)</f>
        <v>6</v>
      </c>
      <c r="C58" s="28"/>
      <c r="D58" s="30" t="n">
        <f aca="false">SUM(D59:D62)</f>
        <v>6</v>
      </c>
    </row>
    <row r="59" customFormat="false" ht="15" hidden="false" customHeight="true" outlineLevel="0" collapsed="false">
      <c r="A59" s="31" t="s">
        <v>99</v>
      </c>
      <c r="B59" s="32" t="n">
        <v>2</v>
      </c>
      <c r="C59" s="31"/>
      <c r="D59" s="33" t="n">
        <v>2</v>
      </c>
    </row>
    <row r="60" customFormat="false" ht="15" hidden="false" customHeight="true" outlineLevel="0" collapsed="false">
      <c r="A60" s="31" t="s">
        <v>100</v>
      </c>
      <c r="B60" s="32" t="n">
        <v>2</v>
      </c>
      <c r="C60" s="31"/>
      <c r="D60" s="33" t="n">
        <v>2</v>
      </c>
    </row>
    <row r="61" customFormat="false" ht="15" hidden="false" customHeight="true" outlineLevel="0" collapsed="false">
      <c r="A61" s="31" t="s">
        <v>101</v>
      </c>
      <c r="B61" s="32" t="n">
        <v>1</v>
      </c>
      <c r="C61" s="31"/>
      <c r="D61" s="33" t="n">
        <v>1</v>
      </c>
    </row>
    <row r="62" customFormat="false" ht="15" hidden="false" customHeight="true" outlineLevel="0" collapsed="false">
      <c r="A62" s="31" t="s">
        <v>102</v>
      </c>
      <c r="B62" s="32" t="n">
        <v>1</v>
      </c>
      <c r="C62" s="31"/>
      <c r="D62" s="33" t="n">
        <v>1</v>
      </c>
    </row>
    <row r="63" customFormat="false" ht="15" hidden="false" customHeight="true" outlineLevel="0" collapsed="false">
      <c r="A63" s="28" t="s">
        <v>103</v>
      </c>
      <c r="B63" s="29" t="n">
        <f aca="false">SUM(B64:B65)</f>
        <v>6</v>
      </c>
      <c r="C63" s="28"/>
      <c r="D63" s="30" t="n">
        <f aca="false">SUM(D64:D65)</f>
        <v>6</v>
      </c>
    </row>
    <row r="64" customFormat="false" ht="15" hidden="false" customHeight="true" outlineLevel="0" collapsed="false">
      <c r="A64" s="31" t="s">
        <v>104</v>
      </c>
      <c r="B64" s="32" t="n">
        <v>3</v>
      </c>
      <c r="C64" s="31"/>
      <c r="D64" s="33" t="n">
        <v>3</v>
      </c>
    </row>
    <row r="65" customFormat="false" ht="15" hidden="false" customHeight="true" outlineLevel="0" collapsed="false">
      <c r="A65" s="31" t="s">
        <v>105</v>
      </c>
      <c r="B65" s="32" t="n">
        <v>3</v>
      </c>
      <c r="C65" s="31"/>
      <c r="D65" s="33" t="n">
        <v>3</v>
      </c>
    </row>
    <row r="66" customFormat="false" ht="19.5" hidden="false" customHeight="true" outlineLevel="0" collapsed="false">
      <c r="A66" s="25" t="s">
        <v>106</v>
      </c>
      <c r="B66" s="26" t="n">
        <f aca="false">B67+B73</f>
        <v>25</v>
      </c>
      <c r="C66" s="25"/>
      <c r="D66" s="27" t="n">
        <f aca="false">IF(D67+D73=0,"",D67+D73)</f>
        <v>6</v>
      </c>
    </row>
    <row r="67" customFormat="false" ht="18" hidden="false" customHeight="true" outlineLevel="0" collapsed="false">
      <c r="A67" s="28" t="s">
        <v>107</v>
      </c>
      <c r="B67" s="29" t="n">
        <f aca="false">SUM(B68:B72)</f>
        <v>10</v>
      </c>
      <c r="C67" s="28"/>
      <c r="D67" s="30" t="n">
        <f aca="false">IF(SUM(D68:D72)=0,"",SUM(D68:D72))</f>
        <v>4</v>
      </c>
    </row>
    <row r="68" customFormat="false" ht="15" hidden="false" customHeight="true" outlineLevel="0" collapsed="false">
      <c r="A68" s="31" t="s">
        <v>108</v>
      </c>
      <c r="B68" s="32" t="n">
        <v>2</v>
      </c>
      <c r="C68" s="31"/>
      <c r="D68" s="33" t="n">
        <v>2</v>
      </c>
    </row>
    <row r="69" customFormat="false" ht="15" hidden="false" customHeight="true" outlineLevel="0" collapsed="false">
      <c r="A69" s="31" t="s">
        <v>109</v>
      </c>
      <c r="B69" s="32" t="n">
        <v>2</v>
      </c>
      <c r="C69" s="31"/>
      <c r="D69" s="33" t="n">
        <v>2</v>
      </c>
    </row>
    <row r="70" customFormat="false" ht="15" hidden="false" customHeight="true" outlineLevel="0" collapsed="false">
      <c r="A70" s="31" t="s">
        <v>110</v>
      </c>
      <c r="B70" s="32" t="n">
        <v>2</v>
      </c>
      <c r="C70" s="31"/>
      <c r="D70" s="33" t="n">
        <v>0</v>
      </c>
    </row>
    <row r="71" customFormat="false" ht="15" hidden="false" customHeight="true" outlineLevel="0" collapsed="false">
      <c r="A71" s="31" t="s">
        <v>111</v>
      </c>
      <c r="B71" s="32" t="n">
        <v>2</v>
      </c>
      <c r="C71" s="31"/>
      <c r="D71" s="33" t="n">
        <v>0</v>
      </c>
    </row>
    <row r="72" customFormat="false" ht="15" hidden="false" customHeight="true" outlineLevel="0" collapsed="false">
      <c r="A72" s="31" t="s">
        <v>112</v>
      </c>
      <c r="B72" s="32" t="n">
        <v>2</v>
      </c>
      <c r="C72" s="31"/>
      <c r="D72" s="33" t="n">
        <v>0</v>
      </c>
    </row>
    <row r="73" customFormat="false" ht="18" hidden="false" customHeight="true" outlineLevel="0" collapsed="false">
      <c r="A73" s="28" t="s">
        <v>113</v>
      </c>
      <c r="B73" s="29" t="n">
        <f aca="false">SUM(B74:B76)</f>
        <v>15</v>
      </c>
      <c r="C73" s="28"/>
      <c r="D73" s="30" t="n">
        <f aca="false">IF(SUM(D74:D76)=0,"",SUM(D74:D76))</f>
        <v>2</v>
      </c>
    </row>
    <row r="74" customFormat="false" ht="15" hidden="false" customHeight="true" outlineLevel="0" collapsed="false">
      <c r="A74" s="31" t="s">
        <v>114</v>
      </c>
      <c r="B74" s="32" t="n">
        <v>5</v>
      </c>
      <c r="C74" s="31"/>
      <c r="D74" s="33" t="n">
        <v>2</v>
      </c>
    </row>
    <row r="75" customFormat="false" ht="15" hidden="false" customHeight="true" outlineLevel="0" collapsed="false">
      <c r="A75" s="31" t="s">
        <v>115</v>
      </c>
      <c r="B75" s="32" t="n">
        <v>5</v>
      </c>
      <c r="C75" s="31"/>
      <c r="D75" s="33" t="n">
        <v>0</v>
      </c>
    </row>
    <row r="76" customFormat="false" ht="15" hidden="false" customHeight="true" outlineLevel="0" collapsed="false">
      <c r="A76" s="31" t="s">
        <v>116</v>
      </c>
      <c r="B76" s="32" t="n">
        <v>5</v>
      </c>
      <c r="C76" s="31"/>
      <c r="D76" s="33" t="n">
        <v>0</v>
      </c>
    </row>
    <row r="77" customFormat="false" ht="19.5" hidden="false" customHeight="true" outlineLevel="0" collapsed="false">
      <c r="A77" s="34" t="s">
        <v>117</v>
      </c>
      <c r="B77" s="35" t="n">
        <f aca="false">B15+B29+B66</f>
        <v>100</v>
      </c>
      <c r="C77" s="36"/>
      <c r="D77" s="16" t="n">
        <f aca="false">IF(D15+D29+D66=0,"",D15+D29+D66)</f>
        <v>71.5</v>
      </c>
    </row>
    <row r="78" customFormat="false" ht="1.5" hidden="false" customHeight="true" outlineLevel="0" collapsed="false">
      <c r="A78" s="18"/>
      <c r="B78" s="18"/>
      <c r="C78" s="18"/>
      <c r="D78" s="18"/>
    </row>
    <row r="79" customFormat="false" ht="15.75" hidden="false" customHeight="true" outlineLevel="0" collapsed="false">
      <c r="A79" s="17" t="s">
        <v>118</v>
      </c>
      <c r="B79" s="18"/>
      <c r="C79" s="18"/>
      <c r="D79" s="18"/>
    </row>
    <row r="80" customFormat="false" ht="15.75" hidden="false" customHeight="true" outlineLevel="0" collapsed="false">
      <c r="A80" s="24" t="s">
        <v>119</v>
      </c>
      <c r="B80" s="24" t="s">
        <v>120</v>
      </c>
      <c r="C80" s="24" t="s">
        <v>53</v>
      </c>
      <c r="D80" s="24"/>
    </row>
    <row r="81" customFormat="false" ht="15.75" hidden="false" customHeight="true" outlineLevel="0" collapsed="false">
      <c r="A81" s="31" t="s">
        <v>121</v>
      </c>
      <c r="B81" s="4"/>
      <c r="C81" s="37"/>
      <c r="D81" s="38"/>
    </row>
    <row r="82" customFormat="false" ht="15.75" hidden="false" customHeight="true" outlineLevel="0" collapsed="false">
      <c r="A82" s="31" t="s">
        <v>122</v>
      </c>
      <c r="B82" s="4"/>
      <c r="C82" s="37"/>
      <c r="D82" s="38"/>
    </row>
    <row r="83" customFormat="false" ht="15.75" hidden="false" customHeight="true" outlineLevel="0" collapsed="false">
      <c r="A83" s="31" t="s">
        <v>123</v>
      </c>
      <c r="B83" s="4"/>
      <c r="C83" s="37"/>
      <c r="D83" s="38"/>
    </row>
    <row r="84" customFormat="false" ht="15.75" hidden="false" customHeight="true" outlineLevel="0" collapsed="false">
      <c r="A84" s="31" t="s">
        <v>124</v>
      </c>
      <c r="B84" s="4"/>
      <c r="C84" s="37"/>
      <c r="D84" s="38"/>
    </row>
    <row r="85" customFormat="false" ht="15.75" hidden="false" customHeight="true" outlineLevel="0" collapsed="false">
      <c r="A85" s="31" t="s">
        <v>125</v>
      </c>
      <c r="B85" s="4"/>
      <c r="C85" s="37"/>
      <c r="D85" s="38"/>
    </row>
    <row r="86" customFormat="false" ht="15.75" hidden="false" customHeight="true" outlineLevel="0" collapsed="false">
      <c r="A86" s="31" t="s">
        <v>126</v>
      </c>
      <c r="B86" s="4"/>
      <c r="C86" s="37"/>
      <c r="D86" s="38"/>
    </row>
    <row r="87" customFormat="false" ht="1.5" hidden="false" customHeight="true" outlineLevel="0" collapsed="false">
      <c r="A87" s="18"/>
      <c r="B87" s="18"/>
      <c r="C87" s="18"/>
      <c r="D87" s="18"/>
    </row>
    <row r="88" customFormat="false" ht="15.75" hidden="false" customHeight="true" outlineLevel="0" collapsed="false">
      <c r="A88" s="17" t="s">
        <v>127</v>
      </c>
      <c r="B88" s="18"/>
      <c r="C88" s="18"/>
      <c r="D88" s="18"/>
    </row>
    <row r="89" customFormat="false" ht="15.75" hidden="false" customHeight="true" outlineLevel="0" collapsed="false">
      <c r="A89" s="24" t="s">
        <v>128</v>
      </c>
      <c r="B89" s="24" t="s">
        <v>8</v>
      </c>
      <c r="C89" s="24" t="s">
        <v>129</v>
      </c>
      <c r="D89" s="24" t="s">
        <v>130</v>
      </c>
    </row>
    <row r="90" customFormat="false" ht="15.75" hidden="false" customHeight="true" outlineLevel="0" collapsed="false">
      <c r="A90" s="31" t="s">
        <v>131</v>
      </c>
      <c r="B90" s="39" t="n">
        <v>-0.3</v>
      </c>
      <c r="C90" s="4"/>
      <c r="D90" s="8" t="str">
        <f aca="false">IF(C90="Sí",$D$77*B90,"")</f>
        <v/>
      </c>
    </row>
    <row r="91" customFormat="false" ht="15.75" hidden="false" customHeight="true" outlineLevel="0" collapsed="false">
      <c r="A91" s="31" t="s">
        <v>132</v>
      </c>
      <c r="B91" s="39" t="n">
        <v>-0.2</v>
      </c>
      <c r="C91" s="4"/>
      <c r="D91" s="8" t="str">
        <f aca="false">IF(C91="Sí",$D$77*B91,"")</f>
        <v/>
      </c>
    </row>
    <row r="92" customFormat="false" ht="15.75" hidden="false" customHeight="true" outlineLevel="0" collapsed="false">
      <c r="A92" s="31" t="s">
        <v>133</v>
      </c>
      <c r="B92" s="39" t="n">
        <v>-1</v>
      </c>
      <c r="C92" s="4"/>
      <c r="D92" s="8" t="str">
        <f aca="false">IF(C92="Sí",$D$77*B92,"")</f>
        <v/>
      </c>
    </row>
    <row r="93" customFormat="false" ht="15.75" hidden="false" customHeight="true" outlineLevel="0" collapsed="false">
      <c r="A93" s="31" t="s">
        <v>134</v>
      </c>
      <c r="B93" s="39" t="n">
        <v>-0.2</v>
      </c>
      <c r="C93" s="4"/>
      <c r="D93" s="8" t="str">
        <f aca="false">IF(C93="Sí",$D$77*B93,"")</f>
        <v/>
      </c>
    </row>
    <row r="94" customFormat="false" ht="15.75" hidden="false" customHeight="true" outlineLevel="0" collapsed="false">
      <c r="A94" s="31" t="s">
        <v>135</v>
      </c>
      <c r="B94" s="39" t="n">
        <v>-1</v>
      </c>
      <c r="C94" s="4"/>
      <c r="D94" s="8" t="str">
        <f aca="false">IF(C94="Sí",$D$77*B94,"")</f>
        <v/>
      </c>
    </row>
    <row r="95" customFormat="false" ht="15.75" hidden="false" customHeight="true" outlineLevel="0" collapsed="false">
      <c r="A95" s="31" t="s">
        <v>136</v>
      </c>
      <c r="B95" s="39" t="n">
        <v>-0.75</v>
      </c>
      <c r="C95" s="4"/>
      <c r="D95" s="8" t="str">
        <f aca="false">IF(C95="Sí",$D$77*B95,"")</f>
        <v/>
      </c>
    </row>
    <row r="96" customFormat="false" ht="15.75" hidden="false" customHeight="true" outlineLevel="0" collapsed="false">
      <c r="A96" s="31" t="s">
        <v>137</v>
      </c>
      <c r="B96" s="39" t="n">
        <v>-0.75</v>
      </c>
      <c r="C96" s="4"/>
      <c r="D96" s="8" t="str">
        <f aca="false">IF(C96="Sí",$D$77*B96,"")</f>
        <v/>
      </c>
    </row>
    <row r="97" customFormat="false" ht="15.75" hidden="false" customHeight="true" outlineLevel="0" collapsed="false">
      <c r="A97" s="31" t="s">
        <v>138</v>
      </c>
      <c r="B97" s="39" t="n">
        <v>-1</v>
      </c>
      <c r="C97" s="4"/>
      <c r="D97" s="8" t="str">
        <f aca="false">IF(C97="Sí",$D$77*B97,"")</f>
        <v/>
      </c>
    </row>
    <row r="98" customFormat="false" ht="15.75" hidden="false" customHeight="true" outlineLevel="0" collapsed="false">
      <c r="A98" s="31" t="s">
        <v>139</v>
      </c>
      <c r="B98" s="39" t="n">
        <v>-0.5</v>
      </c>
      <c r="C98" s="4"/>
      <c r="D98" s="8" t="str">
        <f aca="false">IF(C98="Sí",$D$77*B98,"")</f>
        <v/>
      </c>
    </row>
    <row r="99" customFormat="false" ht="15.75" hidden="false" customHeight="true" outlineLevel="0" collapsed="false">
      <c r="A99" s="31" t="s">
        <v>140</v>
      </c>
      <c r="B99" s="39" t="n">
        <v>-1</v>
      </c>
      <c r="C99" s="4"/>
      <c r="D99" s="8" t="str">
        <f aca="false">IF(C99="Sí",$D$77*B99,"")</f>
        <v/>
      </c>
    </row>
    <row r="100" customFormat="false" ht="15.75" hidden="false" customHeight="true" outlineLevel="0" collapsed="false">
      <c r="A100" s="31" t="s">
        <v>141</v>
      </c>
      <c r="B100" s="39" t="n">
        <v>-1</v>
      </c>
      <c r="C100" s="4"/>
      <c r="D100" s="8" t="str">
        <f aca="false">IF(C100="Sí",$D$77*B100,"")</f>
        <v/>
      </c>
    </row>
    <row r="101" customFormat="false" ht="15.75" hidden="false" customHeight="true" outlineLevel="0" collapsed="false">
      <c r="A101" s="31" t="s">
        <v>142</v>
      </c>
      <c r="B101" s="39" t="n">
        <v>-0.25</v>
      </c>
      <c r="C101" s="4"/>
      <c r="D101" s="8" t="str">
        <f aca="false">IF(C101="Sí",$D$77*B101,"")</f>
        <v/>
      </c>
    </row>
    <row r="102" customFormat="false" ht="15.75" hidden="false" customHeight="true" outlineLevel="0" collapsed="false">
      <c r="A102" s="31" t="s">
        <v>143</v>
      </c>
      <c r="B102" s="39" t="n">
        <v>-1</v>
      </c>
      <c r="C102" s="4"/>
      <c r="D102" s="8" t="str">
        <f aca="false">IF(C102="Sí",$D$77*B102,"")</f>
        <v/>
      </c>
    </row>
    <row r="103" customFormat="false" ht="15.75" hidden="false" customHeight="true" outlineLevel="0" collapsed="false">
      <c r="A103" s="31" t="s">
        <v>144</v>
      </c>
      <c r="B103" s="39" t="n">
        <v>-1</v>
      </c>
      <c r="C103" s="4"/>
      <c r="D103" s="8" t="str">
        <f aca="false">IF(C103="Sí",$D$77*B103,"")</f>
        <v/>
      </c>
    </row>
    <row r="104" customFormat="false" ht="15.75" hidden="false" customHeight="true" outlineLevel="0" collapsed="false">
      <c r="A104" s="31" t="s">
        <v>145</v>
      </c>
      <c r="B104" s="39" t="n">
        <v>-1</v>
      </c>
      <c r="C104" s="4"/>
      <c r="D104" s="8" t="str">
        <f aca="false">IF(C104="Sí",$D$77*B104,"")</f>
        <v/>
      </c>
    </row>
    <row r="105" customFormat="false" ht="15.75" hidden="false" customHeight="true" outlineLevel="0" collapsed="false">
      <c r="A105" s="31" t="s">
        <v>146</v>
      </c>
      <c r="B105" s="39" t="n">
        <v>-1</v>
      </c>
      <c r="C105" s="4"/>
      <c r="D105" s="8" t="str">
        <f aca="false">IF(C105="Sí",$D$77*B105,"")</f>
        <v/>
      </c>
    </row>
    <row r="106" customFormat="false" ht="15.75" hidden="false" customHeight="true" outlineLevel="0" collapsed="false">
      <c r="A106" s="34" t="s">
        <v>147</v>
      </c>
      <c r="B106" s="36"/>
      <c r="C106" s="36"/>
      <c r="D106" s="16" t="str">
        <f aca="false">IF(SUM(D90:D105)=0,"",SUM(D90:D105))</f>
        <v/>
      </c>
    </row>
    <row r="107" customFormat="false" ht="1.5" hidden="false" customHeight="true" outlineLevel="0" collapsed="false">
      <c r="A107" s="18"/>
      <c r="B107" s="18"/>
      <c r="C107" s="18"/>
      <c r="D107" s="18"/>
    </row>
    <row r="108" customFormat="false" ht="21.75" hidden="false" customHeight="true" outlineLevel="0" collapsed="false">
      <c r="A108" s="40" t="s">
        <v>148</v>
      </c>
      <c r="B108" s="41"/>
      <c r="C108" s="41"/>
      <c r="D108" s="42" t="e">
        <f aca="false">IF(MAX(0,ROUND($D$77+$D$106,2))=0,"",MAX(0,ROUND($D$77+$D$106,2)))</f>
        <v>#VALUE!</v>
      </c>
    </row>
    <row r="109" customFormat="false" ht="1.5" hidden="false" customHeight="true" outlineLevel="0" collapsed="false">
      <c r="A109" s="18"/>
      <c r="B109" s="18"/>
      <c r="C109" s="18"/>
      <c r="D109" s="18"/>
    </row>
    <row r="110" customFormat="false" ht="15.75" hidden="false" customHeight="true" outlineLevel="0" collapsed="false">
      <c r="A110" s="43" t="s">
        <v>149</v>
      </c>
      <c r="B110" s="18"/>
      <c r="C110" s="18"/>
      <c r="D110" s="18"/>
    </row>
    <row r="111" customFormat="false" ht="18" hidden="false" customHeight="true" outlineLevel="0" collapsed="false">
      <c r="A111" s="37"/>
      <c r="B111" s="37"/>
      <c r="C111" s="37"/>
      <c r="D111" s="37"/>
    </row>
    <row r="112" customFormat="false" ht="18" hidden="false" customHeight="true" outlineLevel="0" collapsed="false">
      <c r="A112" s="37"/>
      <c r="B112" s="37"/>
      <c r="C112" s="37"/>
      <c r="D112" s="37"/>
    </row>
    <row r="113" customFormat="false" ht="3" hidden="false" customHeight="true" outlineLevel="0" collapsed="false">
      <c r="A113" s="18"/>
      <c r="B113" s="18"/>
      <c r="C113" s="18"/>
      <c r="D113" s="18"/>
    </row>
    <row r="114" customFormat="false" ht="12" hidden="false" customHeight="true" outlineLevel="0" collapsed="false">
      <c r="A114" s="18"/>
      <c r="B114" s="18"/>
      <c r="C114" s="18"/>
      <c r="D114" s="18"/>
    </row>
    <row r="115" customFormat="false" ht="8.25" hidden="false" customHeight="true" outlineLevel="0" collapsed="false">
      <c r="A115" s="44" t="s">
        <v>150</v>
      </c>
      <c r="B115" s="18"/>
      <c r="C115" s="44" t="s">
        <v>150</v>
      </c>
      <c r="D115" s="18"/>
    </row>
    <row r="116" customFormat="false" ht="13.5" hidden="false" customHeight="true" outlineLevel="0" collapsed="false">
      <c r="A116" s="44" t="s">
        <v>151</v>
      </c>
      <c r="B116" s="18"/>
      <c r="C116" s="44" t="s">
        <v>152</v>
      </c>
      <c r="D116" s="18"/>
    </row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</sheetData>
  <mergeCells count="8">
    <mergeCell ref="A8:D8"/>
    <mergeCell ref="A10:B10"/>
    <mergeCell ref="C10:D10"/>
    <mergeCell ref="A11:B11"/>
    <mergeCell ref="C11:D11"/>
    <mergeCell ref="A12:B12"/>
    <mergeCell ref="A111:D111"/>
    <mergeCell ref="A112:D112"/>
  </mergeCells>
  <conditionalFormatting sqref="D15:D76">
    <cfRule type="cellIs" priority="2" operator="greaterThan" aboveAverage="0" equalAverage="0" bottom="0" percent="0" rank="0" text="" dxfId="10">
      <formula>B15</formula>
    </cfRule>
  </conditionalFormatting>
  <dataValidations count="1">
    <dataValidation allowBlank="true" errorStyle="stop" operator="equal" showDropDown="false" showErrorMessage="false" showInputMessage="false" sqref="B81:B86 C90:C105" type="list">
      <formula1>"Sí,No"</formula1>
      <formula2>0</formula2>
    </dataValidation>
  </dataValidations>
  <printOptions headings="false" gridLines="false" gridLinesSet="true" horizontalCentered="true" verticalCentered="false"/>
  <pageMargins left="0.39375" right="0.39375" top="0.196527777777778" bottom="0.196527777777778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86"/>
  <sheetViews>
    <sheetView showFormulas="false" showGridLines="false" showRowColHeaders="true" showZeros="true" rightToLeft="false" tabSelected="false" showOutlineSymbols="true" defaultGridColor="true" view="normal" topLeftCell="A76" colorId="64" zoomScale="100" zoomScaleNormal="100" zoomScalePageLayoutView="100" workbookViewId="0">
      <selection pane="topLeft" activeCell="D67" activeCellId="0" sqref="D67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87.43"/>
    <col collapsed="false" customWidth="true" hidden="false" outlineLevel="0" max="2" min="2" style="1" width="11"/>
    <col collapsed="false" customWidth="true" hidden="false" outlineLevel="0" max="3" min="3" style="1" width="34"/>
    <col collapsed="false" customWidth="true" hidden="false" outlineLevel="0" max="4" min="4" style="1" width="11"/>
    <col collapsed="false" customWidth="true" hidden="false" outlineLevel="0" max="26" min="5" style="1" width="8.71"/>
  </cols>
  <sheetData>
    <row r="1" customFormat="false" ht="13.8" hidden="false" customHeight="false" outlineLevel="0" collapsed="false">
      <c r="A1" s="17" t="s">
        <v>41</v>
      </c>
      <c r="B1" s="18"/>
      <c r="C1" s="18"/>
      <c r="D1" s="18"/>
    </row>
    <row r="2" customFormat="false" ht="13.8" hidden="false" customHeight="false" outlineLevel="0" collapsed="false">
      <c r="A2" s="17" t="s">
        <v>42</v>
      </c>
      <c r="B2" s="18"/>
      <c r="C2" s="18"/>
      <c r="D2" s="18"/>
    </row>
    <row r="3" customFormat="false" ht="13.8" hidden="false" customHeight="false" outlineLevel="0" collapsed="false">
      <c r="A3" s="17" t="s">
        <v>43</v>
      </c>
      <c r="B3" s="18"/>
      <c r="C3" s="18"/>
      <c r="D3" s="18"/>
    </row>
    <row r="4" customFormat="false" ht="13.8" hidden="false" customHeight="false" outlineLevel="0" collapsed="false">
      <c r="A4" s="17" t="s">
        <v>44</v>
      </c>
      <c r="B4" s="18"/>
      <c r="C4" s="18"/>
      <c r="D4" s="18"/>
    </row>
    <row r="5" customFormat="false" ht="13.8" hidden="false" customHeight="false" outlineLevel="0" collapsed="false">
      <c r="A5" s="17" t="s">
        <v>45</v>
      </c>
      <c r="B5" s="18"/>
      <c r="C5" s="18"/>
      <c r="D5" s="18"/>
    </row>
    <row r="6" customFormat="false" ht="13.8" hidden="false" customHeight="false" outlineLevel="0" collapsed="false">
      <c r="A6" s="17" t="s">
        <v>46</v>
      </c>
      <c r="B6" s="18"/>
      <c r="C6" s="18"/>
      <c r="D6" s="18"/>
    </row>
    <row r="7" customFormat="false" ht="13.8" hidden="false" customHeight="false" outlineLevel="0" collapsed="false">
      <c r="A7" s="17"/>
      <c r="B7" s="18"/>
      <c r="C7" s="18"/>
      <c r="D7" s="18"/>
    </row>
    <row r="8" customFormat="false" ht="13.8" hidden="false" customHeight="false" outlineLevel="0" collapsed="false">
      <c r="A8" s="19" t="s">
        <v>47</v>
      </c>
      <c r="B8" s="19"/>
      <c r="C8" s="19"/>
      <c r="D8" s="19"/>
    </row>
    <row r="9" customFormat="false" ht="13.8" hidden="false" customHeight="false" outlineLevel="0" collapsed="false">
      <c r="A9" s="20"/>
      <c r="B9" s="20"/>
      <c r="C9" s="20"/>
      <c r="D9" s="20"/>
    </row>
    <row r="10" customFormat="false" ht="13.8" hidden="false" customHeight="false" outlineLevel="0" collapsed="false">
      <c r="A10" s="21" t="s">
        <v>48</v>
      </c>
      <c r="B10" s="21"/>
      <c r="C10" s="22" t="n">
        <v>46282</v>
      </c>
      <c r="D10" s="22"/>
    </row>
    <row r="11" customFormat="false" ht="13.8" hidden="false" customHeight="false" outlineLevel="0" collapsed="false">
      <c r="A11" s="21" t="s">
        <v>49</v>
      </c>
      <c r="B11" s="21"/>
      <c r="C11" s="23" t="str">
        <f aca="false">VLOOKUP(C12, Consolidado!$B$3:$C$26, 2, 0)</f>
        <v>NAOMI ROCIO AXPUAC VELASQUEZ</v>
      </c>
      <c r="D11" s="23"/>
    </row>
    <row r="12" customFormat="false" ht="13.8" hidden="false" customHeight="false" outlineLevel="0" collapsed="false">
      <c r="A12" s="21" t="s">
        <v>50</v>
      </c>
      <c r="B12" s="21"/>
      <c r="C12" s="23" t="n">
        <v>202505830</v>
      </c>
      <c r="D12" s="23"/>
    </row>
    <row r="13" customFormat="false" ht="13.8" hidden="false" customHeight="false" outlineLevel="0" collapsed="false">
      <c r="A13" s="18"/>
      <c r="B13" s="18"/>
      <c r="C13" s="18"/>
      <c r="D13" s="18"/>
    </row>
    <row r="14" customFormat="false" ht="19.5" hidden="false" customHeight="true" outlineLevel="0" collapsed="false">
      <c r="A14" s="24" t="s">
        <v>51</v>
      </c>
      <c r="B14" s="24" t="s">
        <v>52</v>
      </c>
      <c r="C14" s="24" t="s">
        <v>53</v>
      </c>
      <c r="D14" s="24" t="s">
        <v>54</v>
      </c>
    </row>
    <row r="15" customFormat="false" ht="19.5" hidden="false" customHeight="true" outlineLevel="0" collapsed="false">
      <c r="A15" s="25" t="s">
        <v>55</v>
      </c>
      <c r="B15" s="26" t="n">
        <f aca="false">B16+B21+B25</f>
        <v>20</v>
      </c>
      <c r="C15" s="25"/>
      <c r="D15" s="27" t="n">
        <f aca="false">IF(D16+D21+D25=0,"",D16+D21+D25)</f>
        <v>20</v>
      </c>
    </row>
    <row r="16" customFormat="false" ht="18" hidden="false" customHeight="true" outlineLevel="0" collapsed="false">
      <c r="A16" s="28" t="s">
        <v>56</v>
      </c>
      <c r="B16" s="29" t="n">
        <f aca="false">SUM(B17:B20)</f>
        <v>8</v>
      </c>
      <c r="C16" s="28"/>
      <c r="D16" s="30" t="n">
        <f aca="false">SUM(D17:D20)</f>
        <v>8</v>
      </c>
    </row>
    <row r="17" customFormat="false" ht="15" hidden="false" customHeight="true" outlineLevel="0" collapsed="false">
      <c r="A17" s="31" t="s">
        <v>57</v>
      </c>
      <c r="B17" s="32" t="n">
        <v>2</v>
      </c>
      <c r="C17" s="31"/>
      <c r="D17" s="33" t="n">
        <v>2</v>
      </c>
    </row>
    <row r="18" customFormat="false" ht="15" hidden="false" customHeight="true" outlineLevel="0" collapsed="false">
      <c r="A18" s="31" t="s">
        <v>58</v>
      </c>
      <c r="B18" s="32" t="n">
        <v>2</v>
      </c>
      <c r="C18" s="31"/>
      <c r="D18" s="33" t="n">
        <v>2</v>
      </c>
    </row>
    <row r="19" customFormat="false" ht="15" hidden="false" customHeight="true" outlineLevel="0" collapsed="false">
      <c r="A19" s="31" t="s">
        <v>59</v>
      </c>
      <c r="B19" s="32" t="n">
        <v>2</v>
      </c>
      <c r="C19" s="31"/>
      <c r="D19" s="33" t="n">
        <v>2</v>
      </c>
    </row>
    <row r="20" customFormat="false" ht="15" hidden="false" customHeight="true" outlineLevel="0" collapsed="false">
      <c r="A20" s="31" t="s">
        <v>60</v>
      </c>
      <c r="B20" s="32" t="n">
        <v>2</v>
      </c>
      <c r="C20" s="31"/>
      <c r="D20" s="33" t="n">
        <v>2</v>
      </c>
    </row>
    <row r="21" customFormat="false" ht="18" hidden="false" customHeight="true" outlineLevel="0" collapsed="false">
      <c r="A21" s="28" t="s">
        <v>61</v>
      </c>
      <c r="B21" s="29" t="n">
        <f aca="false">SUM(B22:B24)</f>
        <v>6</v>
      </c>
      <c r="C21" s="28"/>
      <c r="D21" s="30" t="n">
        <f aca="false">SUM(D22:D24)</f>
        <v>6</v>
      </c>
    </row>
    <row r="22" customFormat="false" ht="15" hidden="false" customHeight="true" outlineLevel="0" collapsed="false">
      <c r="A22" s="31" t="s">
        <v>62</v>
      </c>
      <c r="B22" s="32" t="n">
        <v>2</v>
      </c>
      <c r="C22" s="31"/>
      <c r="D22" s="33" t="n">
        <v>2</v>
      </c>
    </row>
    <row r="23" customFormat="false" ht="15" hidden="false" customHeight="true" outlineLevel="0" collapsed="false">
      <c r="A23" s="31" t="s">
        <v>63</v>
      </c>
      <c r="B23" s="32" t="n">
        <v>2</v>
      </c>
      <c r="C23" s="31"/>
      <c r="D23" s="33" t="n">
        <v>2</v>
      </c>
    </row>
    <row r="24" customFormat="false" ht="15" hidden="false" customHeight="true" outlineLevel="0" collapsed="false">
      <c r="A24" s="31" t="s">
        <v>64</v>
      </c>
      <c r="B24" s="32" t="n">
        <v>2</v>
      </c>
      <c r="C24" s="31"/>
      <c r="D24" s="33" t="n">
        <v>2</v>
      </c>
    </row>
    <row r="25" customFormat="false" ht="18" hidden="false" customHeight="true" outlineLevel="0" collapsed="false">
      <c r="A25" s="28" t="s">
        <v>65</v>
      </c>
      <c r="B25" s="29" t="n">
        <f aca="false">SUM(B26:B28)</f>
        <v>6</v>
      </c>
      <c r="C25" s="28"/>
      <c r="D25" s="30" t="n">
        <f aca="false">SUM(D26:D28)</f>
        <v>6</v>
      </c>
    </row>
    <row r="26" customFormat="false" ht="16.5" hidden="false" customHeight="true" outlineLevel="0" collapsed="false">
      <c r="A26" s="31" t="s">
        <v>66</v>
      </c>
      <c r="B26" s="32" t="n">
        <v>2</v>
      </c>
      <c r="C26" s="31"/>
      <c r="D26" s="33" t="n">
        <v>2</v>
      </c>
    </row>
    <row r="27" customFormat="false" ht="15" hidden="false" customHeight="true" outlineLevel="0" collapsed="false">
      <c r="A27" s="31" t="s">
        <v>67</v>
      </c>
      <c r="B27" s="32" t="n">
        <v>2</v>
      </c>
      <c r="C27" s="31"/>
      <c r="D27" s="33" t="n">
        <v>2</v>
      </c>
    </row>
    <row r="28" customFormat="false" ht="15" hidden="false" customHeight="true" outlineLevel="0" collapsed="false">
      <c r="A28" s="31" t="s">
        <v>68</v>
      </c>
      <c r="B28" s="32" t="n">
        <v>2</v>
      </c>
      <c r="C28" s="31"/>
      <c r="D28" s="33" t="n">
        <v>2</v>
      </c>
    </row>
    <row r="29" customFormat="false" ht="19.5" hidden="false" customHeight="true" outlineLevel="0" collapsed="false">
      <c r="A29" s="25" t="s">
        <v>69</v>
      </c>
      <c r="B29" s="26" t="n">
        <f aca="false">B30+B34+B40+B44+B49+B53+B58+B63</f>
        <v>55</v>
      </c>
      <c r="C29" s="25"/>
      <c r="D29" s="27" t="n">
        <f aca="false">IF(D30+D34+D40+D44+D49+D53+D58+D63=0,"",D30+D34+D40+D44+D49+D53+D58+D63)</f>
        <v>42.5</v>
      </c>
    </row>
    <row r="30" customFormat="false" ht="18" hidden="false" customHeight="true" outlineLevel="0" collapsed="false">
      <c r="A30" s="28" t="s">
        <v>70</v>
      </c>
      <c r="B30" s="29" t="n">
        <f aca="false">SUM(B31:B33)</f>
        <v>5</v>
      </c>
      <c r="C30" s="28"/>
      <c r="D30" s="30" t="n">
        <f aca="false">SUM(D31:D33)</f>
        <v>2</v>
      </c>
    </row>
    <row r="31" customFormat="false" ht="15" hidden="false" customHeight="true" outlineLevel="0" collapsed="false">
      <c r="A31" s="31" t="s">
        <v>71</v>
      </c>
      <c r="B31" s="32" t="n">
        <v>2</v>
      </c>
      <c r="C31" s="31"/>
      <c r="D31" s="33" t="n">
        <v>2</v>
      </c>
    </row>
    <row r="32" customFormat="false" ht="15" hidden="false" customHeight="true" outlineLevel="0" collapsed="false">
      <c r="A32" s="31" t="s">
        <v>72</v>
      </c>
      <c r="B32" s="32" t="n">
        <v>2</v>
      </c>
      <c r="C32" s="31"/>
      <c r="D32" s="33" t="n">
        <v>0</v>
      </c>
    </row>
    <row r="33" customFormat="false" ht="15" hidden="false" customHeight="true" outlineLevel="0" collapsed="false">
      <c r="A33" s="31" t="s">
        <v>73</v>
      </c>
      <c r="B33" s="32" t="n">
        <v>1</v>
      </c>
      <c r="C33" s="31"/>
      <c r="D33" s="33" t="n">
        <v>0</v>
      </c>
    </row>
    <row r="34" customFormat="false" ht="18" hidden="false" customHeight="true" outlineLevel="0" collapsed="false">
      <c r="A34" s="28" t="s">
        <v>74</v>
      </c>
      <c r="B34" s="29" t="n">
        <f aca="false">SUM(B35:B39)</f>
        <v>10</v>
      </c>
      <c r="C34" s="28"/>
      <c r="D34" s="30" t="n">
        <f aca="false">SUM(D35:D39)</f>
        <v>10</v>
      </c>
    </row>
    <row r="35" customFormat="false" ht="15" hidden="false" customHeight="true" outlineLevel="0" collapsed="false">
      <c r="A35" s="31" t="s">
        <v>75</v>
      </c>
      <c r="B35" s="32" t="n">
        <v>3</v>
      </c>
      <c r="C35" s="31"/>
      <c r="D35" s="33" t="n">
        <v>3</v>
      </c>
    </row>
    <row r="36" customFormat="false" ht="15" hidden="false" customHeight="true" outlineLevel="0" collapsed="false">
      <c r="A36" s="31" t="s">
        <v>76</v>
      </c>
      <c r="B36" s="32" t="n">
        <v>2</v>
      </c>
      <c r="C36" s="31"/>
      <c r="D36" s="33" t="n">
        <v>2</v>
      </c>
    </row>
    <row r="37" customFormat="false" ht="15" hidden="false" customHeight="true" outlineLevel="0" collapsed="false">
      <c r="A37" s="31" t="s">
        <v>77</v>
      </c>
      <c r="B37" s="32" t="n">
        <v>2</v>
      </c>
      <c r="C37" s="31"/>
      <c r="D37" s="33" t="n">
        <v>2</v>
      </c>
    </row>
    <row r="38" customFormat="false" ht="15" hidden="false" customHeight="true" outlineLevel="0" collapsed="false">
      <c r="A38" s="31" t="s">
        <v>78</v>
      </c>
      <c r="B38" s="32" t="n">
        <v>1</v>
      </c>
      <c r="C38" s="31"/>
      <c r="D38" s="33" t="n">
        <v>1</v>
      </c>
    </row>
    <row r="39" customFormat="false" ht="15" hidden="false" customHeight="true" outlineLevel="0" collapsed="false">
      <c r="A39" s="31" t="s">
        <v>79</v>
      </c>
      <c r="B39" s="32" t="n">
        <v>2</v>
      </c>
      <c r="C39" s="31"/>
      <c r="D39" s="33" t="n">
        <v>2</v>
      </c>
    </row>
    <row r="40" customFormat="false" ht="18" hidden="false" customHeight="true" outlineLevel="0" collapsed="false">
      <c r="A40" s="28" t="s">
        <v>80</v>
      </c>
      <c r="B40" s="29" t="n">
        <f aca="false">SUM(B41:B43)</f>
        <v>6</v>
      </c>
      <c r="C40" s="28"/>
      <c r="D40" s="30" t="n">
        <f aca="false">SUM(D41:D43)</f>
        <v>5</v>
      </c>
    </row>
    <row r="41" customFormat="false" ht="15" hidden="false" customHeight="true" outlineLevel="0" collapsed="false">
      <c r="A41" s="31" t="s">
        <v>81</v>
      </c>
      <c r="B41" s="32" t="n">
        <v>2</v>
      </c>
      <c r="C41" s="31"/>
      <c r="D41" s="33" t="n">
        <v>2</v>
      </c>
    </row>
    <row r="42" customFormat="false" ht="15" hidden="false" customHeight="true" outlineLevel="0" collapsed="false">
      <c r="A42" s="31" t="s">
        <v>82</v>
      </c>
      <c r="B42" s="32" t="n">
        <v>2</v>
      </c>
      <c r="C42" s="31"/>
      <c r="D42" s="33" t="n">
        <v>2</v>
      </c>
    </row>
    <row r="43" customFormat="false" ht="15" hidden="false" customHeight="true" outlineLevel="0" collapsed="false">
      <c r="A43" s="31" t="s">
        <v>83</v>
      </c>
      <c r="B43" s="32" t="n">
        <v>2</v>
      </c>
      <c r="C43" s="31"/>
      <c r="D43" s="33" t="n">
        <v>1</v>
      </c>
    </row>
    <row r="44" customFormat="false" ht="18" hidden="false" customHeight="true" outlineLevel="0" collapsed="false">
      <c r="A44" s="28" t="s">
        <v>84</v>
      </c>
      <c r="B44" s="29" t="n">
        <f aca="false">SUM(B45:B48)</f>
        <v>8</v>
      </c>
      <c r="C44" s="28"/>
      <c r="D44" s="30" t="n">
        <f aca="false">SUM(D45:D48)</f>
        <v>7</v>
      </c>
    </row>
    <row r="45" customFormat="false" ht="15" hidden="false" customHeight="true" outlineLevel="0" collapsed="false">
      <c r="A45" s="31" t="s">
        <v>85</v>
      </c>
      <c r="B45" s="32" t="n">
        <v>2</v>
      </c>
      <c r="C45" s="31"/>
      <c r="D45" s="33" t="n">
        <v>2</v>
      </c>
    </row>
    <row r="46" customFormat="false" ht="15" hidden="false" customHeight="true" outlineLevel="0" collapsed="false">
      <c r="A46" s="31" t="s">
        <v>86</v>
      </c>
      <c r="B46" s="32" t="n">
        <v>3</v>
      </c>
      <c r="C46" s="31"/>
      <c r="D46" s="33" t="n">
        <v>3</v>
      </c>
    </row>
    <row r="47" customFormat="false" ht="15" hidden="false" customHeight="true" outlineLevel="0" collapsed="false">
      <c r="A47" s="31" t="s">
        <v>87</v>
      </c>
      <c r="B47" s="32" t="n">
        <v>2</v>
      </c>
      <c r="C47" s="31"/>
      <c r="D47" s="33" t="n">
        <v>2</v>
      </c>
    </row>
    <row r="48" customFormat="false" ht="15" hidden="false" customHeight="true" outlineLevel="0" collapsed="false">
      <c r="A48" s="31" t="s">
        <v>88</v>
      </c>
      <c r="B48" s="32" t="n">
        <v>1</v>
      </c>
      <c r="C48" s="31"/>
      <c r="D48" s="33" t="n">
        <v>0</v>
      </c>
    </row>
    <row r="49" customFormat="false" ht="18" hidden="false" customHeight="true" outlineLevel="0" collapsed="false">
      <c r="A49" s="28" t="s">
        <v>89</v>
      </c>
      <c r="B49" s="29" t="n">
        <f aca="false">SUM(B50:B52)</f>
        <v>6</v>
      </c>
      <c r="C49" s="28"/>
      <c r="D49" s="30" t="n">
        <f aca="false">SUM(D50:D52)</f>
        <v>5</v>
      </c>
    </row>
    <row r="50" customFormat="false" ht="15" hidden="false" customHeight="true" outlineLevel="0" collapsed="false">
      <c r="A50" s="31" t="s">
        <v>90</v>
      </c>
      <c r="B50" s="32" t="n">
        <v>2</v>
      </c>
      <c r="C50" s="31"/>
      <c r="D50" s="33" t="n">
        <v>2</v>
      </c>
    </row>
    <row r="51" customFormat="false" ht="15" hidden="false" customHeight="true" outlineLevel="0" collapsed="false">
      <c r="A51" s="31" t="s">
        <v>91</v>
      </c>
      <c r="B51" s="32" t="n">
        <v>2</v>
      </c>
      <c r="C51" s="31"/>
      <c r="D51" s="33" t="n">
        <v>1</v>
      </c>
    </row>
    <row r="52" customFormat="false" ht="15" hidden="false" customHeight="true" outlineLevel="0" collapsed="false">
      <c r="A52" s="31" t="s">
        <v>92</v>
      </c>
      <c r="B52" s="32" t="n">
        <v>2</v>
      </c>
      <c r="C52" s="31"/>
      <c r="D52" s="33" t="n">
        <v>2</v>
      </c>
    </row>
    <row r="53" customFormat="false" ht="18" hidden="false" customHeight="true" outlineLevel="0" collapsed="false">
      <c r="A53" s="28" t="s">
        <v>93</v>
      </c>
      <c r="B53" s="29" t="n">
        <f aca="false">SUM(B54:B57)</f>
        <v>8</v>
      </c>
      <c r="C53" s="28"/>
      <c r="D53" s="30" t="n">
        <f aca="false">SUM(D54:D57)</f>
        <v>6.5</v>
      </c>
    </row>
    <row r="54" customFormat="false" ht="15" hidden="false" customHeight="true" outlineLevel="0" collapsed="false">
      <c r="A54" s="31" t="s">
        <v>94</v>
      </c>
      <c r="B54" s="32" t="n">
        <v>2</v>
      </c>
      <c r="C54" s="31"/>
      <c r="D54" s="33" t="n">
        <v>2</v>
      </c>
    </row>
    <row r="55" customFormat="false" ht="15" hidden="false" customHeight="true" outlineLevel="0" collapsed="false">
      <c r="A55" s="31" t="s">
        <v>95</v>
      </c>
      <c r="B55" s="32" t="n">
        <v>3</v>
      </c>
      <c r="C55" s="31"/>
      <c r="D55" s="33" t="n">
        <v>1.5</v>
      </c>
    </row>
    <row r="56" customFormat="false" ht="15" hidden="false" customHeight="true" outlineLevel="0" collapsed="false">
      <c r="A56" s="31" t="s">
        <v>96</v>
      </c>
      <c r="B56" s="32" t="n">
        <v>2</v>
      </c>
      <c r="C56" s="31"/>
      <c r="D56" s="33" t="n">
        <v>2</v>
      </c>
    </row>
    <row r="57" customFormat="false" ht="15" hidden="false" customHeight="true" outlineLevel="0" collapsed="false">
      <c r="A57" s="31" t="s">
        <v>97</v>
      </c>
      <c r="B57" s="32" t="n">
        <v>1</v>
      </c>
      <c r="C57" s="31"/>
      <c r="D57" s="33" t="n">
        <v>1</v>
      </c>
    </row>
    <row r="58" customFormat="false" ht="18" hidden="false" customHeight="true" outlineLevel="0" collapsed="false">
      <c r="A58" s="28" t="s">
        <v>98</v>
      </c>
      <c r="B58" s="29" t="n">
        <f aca="false">SUM(B59:B62)</f>
        <v>6</v>
      </c>
      <c r="C58" s="28"/>
      <c r="D58" s="30" t="n">
        <f aca="false">SUM(D59:D62)</f>
        <v>1</v>
      </c>
    </row>
    <row r="59" customFormat="false" ht="15" hidden="false" customHeight="true" outlineLevel="0" collapsed="false">
      <c r="A59" s="31" t="s">
        <v>99</v>
      </c>
      <c r="B59" s="32" t="n">
        <v>2</v>
      </c>
      <c r="C59" s="31"/>
      <c r="D59" s="33" t="n">
        <v>0</v>
      </c>
    </row>
    <row r="60" customFormat="false" ht="15" hidden="false" customHeight="true" outlineLevel="0" collapsed="false">
      <c r="A60" s="31" t="s">
        <v>100</v>
      </c>
      <c r="B60" s="32" t="n">
        <v>2</v>
      </c>
      <c r="C60" s="31"/>
      <c r="D60" s="33" t="n">
        <v>0</v>
      </c>
    </row>
    <row r="61" customFormat="false" ht="15" hidden="false" customHeight="true" outlineLevel="0" collapsed="false">
      <c r="A61" s="31" t="s">
        <v>101</v>
      </c>
      <c r="B61" s="32" t="n">
        <v>1</v>
      </c>
      <c r="C61" s="31"/>
      <c r="D61" s="33" t="n">
        <v>1</v>
      </c>
    </row>
    <row r="62" customFormat="false" ht="15" hidden="false" customHeight="true" outlineLevel="0" collapsed="false">
      <c r="A62" s="31" t="s">
        <v>102</v>
      </c>
      <c r="B62" s="32" t="n">
        <v>1</v>
      </c>
      <c r="C62" s="31"/>
      <c r="D62" s="33" t="n">
        <v>0</v>
      </c>
    </row>
    <row r="63" customFormat="false" ht="15" hidden="false" customHeight="true" outlineLevel="0" collapsed="false">
      <c r="A63" s="28" t="s">
        <v>103</v>
      </c>
      <c r="B63" s="29" t="n">
        <f aca="false">SUM(B64:B65)</f>
        <v>6</v>
      </c>
      <c r="C63" s="28"/>
      <c r="D63" s="30" t="n">
        <f aca="false">SUM(D64:D65)</f>
        <v>6</v>
      </c>
    </row>
    <row r="64" customFormat="false" ht="15" hidden="false" customHeight="true" outlineLevel="0" collapsed="false">
      <c r="A64" s="31" t="s">
        <v>104</v>
      </c>
      <c r="B64" s="32" t="n">
        <v>3</v>
      </c>
      <c r="C64" s="31"/>
      <c r="D64" s="33" t="n">
        <v>3</v>
      </c>
    </row>
    <row r="65" customFormat="false" ht="15" hidden="false" customHeight="true" outlineLevel="0" collapsed="false">
      <c r="A65" s="31" t="s">
        <v>105</v>
      </c>
      <c r="B65" s="32" t="n">
        <v>3</v>
      </c>
      <c r="C65" s="31"/>
      <c r="D65" s="33" t="n">
        <v>3</v>
      </c>
    </row>
    <row r="66" customFormat="false" ht="19.5" hidden="false" customHeight="true" outlineLevel="0" collapsed="false">
      <c r="A66" s="25" t="s">
        <v>106</v>
      </c>
      <c r="B66" s="26" t="n">
        <f aca="false">B67+B73</f>
        <v>25</v>
      </c>
      <c r="C66" s="25"/>
      <c r="D66" s="27" t="n">
        <f aca="false">SUM(D67,D73)</f>
        <v>0</v>
      </c>
    </row>
    <row r="67" customFormat="false" ht="18" hidden="false" customHeight="true" outlineLevel="0" collapsed="false">
      <c r="A67" s="28" t="s">
        <v>107</v>
      </c>
      <c r="B67" s="29" t="n">
        <f aca="false">SUM(B68:B72)</f>
        <v>10</v>
      </c>
      <c r="C67" s="28"/>
      <c r="D67" s="30" t="n">
        <f aca="false">SUM(D68:D72)</f>
        <v>0</v>
      </c>
    </row>
    <row r="68" customFormat="false" ht="15" hidden="false" customHeight="true" outlineLevel="0" collapsed="false">
      <c r="A68" s="31" t="s">
        <v>108</v>
      </c>
      <c r="B68" s="32" t="n">
        <v>2</v>
      </c>
      <c r="C68" s="31"/>
      <c r="D68" s="33" t="n">
        <v>0</v>
      </c>
    </row>
    <row r="69" customFormat="false" ht="15" hidden="false" customHeight="true" outlineLevel="0" collapsed="false">
      <c r="A69" s="31" t="s">
        <v>109</v>
      </c>
      <c r="B69" s="32" t="n">
        <v>2</v>
      </c>
      <c r="C69" s="31"/>
      <c r="D69" s="33" t="n">
        <v>0</v>
      </c>
    </row>
    <row r="70" customFormat="false" ht="15" hidden="false" customHeight="true" outlineLevel="0" collapsed="false">
      <c r="A70" s="31" t="s">
        <v>110</v>
      </c>
      <c r="B70" s="32" t="n">
        <v>2</v>
      </c>
      <c r="C70" s="31"/>
      <c r="D70" s="33" t="n">
        <v>0</v>
      </c>
    </row>
    <row r="71" customFormat="false" ht="15" hidden="false" customHeight="true" outlineLevel="0" collapsed="false">
      <c r="A71" s="31" t="s">
        <v>111</v>
      </c>
      <c r="B71" s="32" t="n">
        <v>2</v>
      </c>
      <c r="C71" s="31"/>
      <c r="D71" s="33" t="n">
        <v>0</v>
      </c>
    </row>
    <row r="72" customFormat="false" ht="15" hidden="false" customHeight="true" outlineLevel="0" collapsed="false">
      <c r="A72" s="31" t="s">
        <v>112</v>
      </c>
      <c r="B72" s="32" t="n">
        <v>2</v>
      </c>
      <c r="C72" s="31"/>
      <c r="D72" s="33" t="n">
        <v>0</v>
      </c>
    </row>
    <row r="73" customFormat="false" ht="18" hidden="false" customHeight="true" outlineLevel="0" collapsed="false">
      <c r="A73" s="28" t="s">
        <v>113</v>
      </c>
      <c r="B73" s="29" t="n">
        <f aca="false">SUM(B74:B76)</f>
        <v>15</v>
      </c>
      <c r="C73" s="28"/>
      <c r="D73" s="30" t="n">
        <f aca="false">SUM(D74:D76)</f>
        <v>0</v>
      </c>
    </row>
    <row r="74" customFormat="false" ht="15" hidden="false" customHeight="true" outlineLevel="0" collapsed="false">
      <c r="A74" s="31" t="s">
        <v>114</v>
      </c>
      <c r="B74" s="32" t="n">
        <v>5</v>
      </c>
      <c r="C74" s="31"/>
      <c r="D74" s="33" t="n">
        <v>0</v>
      </c>
    </row>
    <row r="75" customFormat="false" ht="15" hidden="false" customHeight="true" outlineLevel="0" collapsed="false">
      <c r="A75" s="31" t="s">
        <v>115</v>
      </c>
      <c r="B75" s="32" t="n">
        <v>5</v>
      </c>
      <c r="C75" s="31"/>
      <c r="D75" s="33" t="n">
        <v>0</v>
      </c>
    </row>
    <row r="76" customFormat="false" ht="15" hidden="false" customHeight="true" outlineLevel="0" collapsed="false">
      <c r="A76" s="31" t="s">
        <v>116</v>
      </c>
      <c r="B76" s="32" t="n">
        <v>5</v>
      </c>
      <c r="C76" s="31"/>
      <c r="D76" s="33" t="n">
        <v>0</v>
      </c>
    </row>
    <row r="77" customFormat="false" ht="19.5" hidden="false" customHeight="true" outlineLevel="0" collapsed="false">
      <c r="A77" s="34" t="s">
        <v>117</v>
      </c>
      <c r="B77" s="35" t="n">
        <f aca="false">B15+B29+B66</f>
        <v>100</v>
      </c>
      <c r="C77" s="36"/>
      <c r="D77" s="16" t="n">
        <f aca="false">IF(D15+D29+D66=0,"",D15+D29+D66)</f>
        <v>62.5</v>
      </c>
    </row>
    <row r="78" customFormat="false" ht="1.5" hidden="false" customHeight="true" outlineLevel="0" collapsed="false">
      <c r="A78" s="18"/>
      <c r="B78" s="18"/>
      <c r="C78" s="18"/>
      <c r="D78" s="18"/>
    </row>
    <row r="79" customFormat="false" ht="15.75" hidden="false" customHeight="true" outlineLevel="0" collapsed="false">
      <c r="A79" s="17" t="s">
        <v>118</v>
      </c>
      <c r="B79" s="18"/>
      <c r="C79" s="18"/>
      <c r="D79" s="18"/>
    </row>
    <row r="80" customFormat="false" ht="15.75" hidden="false" customHeight="true" outlineLevel="0" collapsed="false">
      <c r="A80" s="24" t="s">
        <v>119</v>
      </c>
      <c r="B80" s="24" t="s">
        <v>120</v>
      </c>
      <c r="C80" s="24" t="s">
        <v>53</v>
      </c>
      <c r="D80" s="24"/>
    </row>
    <row r="81" customFormat="false" ht="15.75" hidden="false" customHeight="true" outlineLevel="0" collapsed="false">
      <c r="A81" s="31" t="s">
        <v>121</v>
      </c>
      <c r="B81" s="4"/>
      <c r="C81" s="37"/>
      <c r="D81" s="38"/>
    </row>
    <row r="82" customFormat="false" ht="15.75" hidden="false" customHeight="true" outlineLevel="0" collapsed="false">
      <c r="A82" s="31" t="s">
        <v>122</v>
      </c>
      <c r="B82" s="4"/>
      <c r="C82" s="37"/>
      <c r="D82" s="38"/>
    </row>
    <row r="83" customFormat="false" ht="15.75" hidden="false" customHeight="true" outlineLevel="0" collapsed="false">
      <c r="A83" s="31" t="s">
        <v>123</v>
      </c>
      <c r="B83" s="4"/>
      <c r="C83" s="37"/>
      <c r="D83" s="38"/>
    </row>
    <row r="84" customFormat="false" ht="15.75" hidden="false" customHeight="true" outlineLevel="0" collapsed="false">
      <c r="A84" s="31" t="s">
        <v>124</v>
      </c>
      <c r="B84" s="4"/>
      <c r="C84" s="37"/>
      <c r="D84" s="38"/>
    </row>
    <row r="85" customFormat="false" ht="15.75" hidden="false" customHeight="true" outlineLevel="0" collapsed="false">
      <c r="A85" s="31" t="s">
        <v>125</v>
      </c>
      <c r="B85" s="4"/>
      <c r="C85" s="37"/>
      <c r="D85" s="38"/>
    </row>
    <row r="86" customFormat="false" ht="15.75" hidden="false" customHeight="true" outlineLevel="0" collapsed="false">
      <c r="A86" s="31" t="s">
        <v>126</v>
      </c>
      <c r="B86" s="4"/>
      <c r="C86" s="37"/>
      <c r="D86" s="38"/>
    </row>
    <row r="87" customFormat="false" ht="1.5" hidden="false" customHeight="true" outlineLevel="0" collapsed="false">
      <c r="A87" s="18"/>
      <c r="B87" s="18"/>
      <c r="C87" s="18"/>
      <c r="D87" s="18"/>
    </row>
    <row r="88" customFormat="false" ht="15.75" hidden="false" customHeight="true" outlineLevel="0" collapsed="false">
      <c r="A88" s="17" t="s">
        <v>127</v>
      </c>
      <c r="B88" s="18"/>
      <c r="C88" s="18"/>
      <c r="D88" s="18"/>
    </row>
    <row r="89" customFormat="false" ht="15.75" hidden="false" customHeight="true" outlineLevel="0" collapsed="false">
      <c r="A89" s="24" t="s">
        <v>128</v>
      </c>
      <c r="B89" s="24" t="s">
        <v>8</v>
      </c>
      <c r="C89" s="24" t="s">
        <v>129</v>
      </c>
      <c r="D89" s="24" t="s">
        <v>130</v>
      </c>
    </row>
    <row r="90" customFormat="false" ht="15.75" hidden="false" customHeight="true" outlineLevel="0" collapsed="false">
      <c r="A90" s="31" t="s">
        <v>131</v>
      </c>
      <c r="B90" s="39" t="n">
        <v>-0.3</v>
      </c>
      <c r="C90" s="4"/>
      <c r="D90" s="8" t="str">
        <f aca="false">IF(C90="Sí",$D$77*B90,"")</f>
        <v/>
      </c>
    </row>
    <row r="91" customFormat="false" ht="15.75" hidden="false" customHeight="true" outlineLevel="0" collapsed="false">
      <c r="A91" s="31" t="s">
        <v>132</v>
      </c>
      <c r="B91" s="39" t="n">
        <v>-0.2</v>
      </c>
      <c r="C91" s="4"/>
      <c r="D91" s="8" t="str">
        <f aca="false">IF(C91="Sí",$D$77*B91,"")</f>
        <v/>
      </c>
    </row>
    <row r="92" customFormat="false" ht="15.75" hidden="false" customHeight="true" outlineLevel="0" collapsed="false">
      <c r="A92" s="31" t="s">
        <v>133</v>
      </c>
      <c r="B92" s="39" t="n">
        <v>-1</v>
      </c>
      <c r="C92" s="4"/>
      <c r="D92" s="8" t="str">
        <f aca="false">IF(C92="Sí",$D$77*B92,"")</f>
        <v/>
      </c>
    </row>
    <row r="93" customFormat="false" ht="15.75" hidden="false" customHeight="true" outlineLevel="0" collapsed="false">
      <c r="A93" s="31" t="s">
        <v>134</v>
      </c>
      <c r="B93" s="39" t="n">
        <v>-0.2</v>
      </c>
      <c r="C93" s="4"/>
      <c r="D93" s="8" t="str">
        <f aca="false">IF(C93="Sí",$D$77*B93,"")</f>
        <v/>
      </c>
    </row>
    <row r="94" customFormat="false" ht="15.75" hidden="false" customHeight="true" outlineLevel="0" collapsed="false">
      <c r="A94" s="31" t="s">
        <v>135</v>
      </c>
      <c r="B94" s="39" t="n">
        <v>-1</v>
      </c>
      <c r="C94" s="4"/>
      <c r="D94" s="8" t="str">
        <f aca="false">IF(C94="Sí",$D$77*B94,"")</f>
        <v/>
      </c>
    </row>
    <row r="95" customFormat="false" ht="15.75" hidden="false" customHeight="true" outlineLevel="0" collapsed="false">
      <c r="A95" s="31" t="s">
        <v>136</v>
      </c>
      <c r="B95" s="39" t="n">
        <v>-0.75</v>
      </c>
      <c r="C95" s="4"/>
      <c r="D95" s="8" t="str">
        <f aca="false">IF(C95="Sí",$D$77*B95,"")</f>
        <v/>
      </c>
    </row>
    <row r="96" customFormat="false" ht="15.75" hidden="false" customHeight="true" outlineLevel="0" collapsed="false">
      <c r="A96" s="31" t="s">
        <v>137</v>
      </c>
      <c r="B96" s="39" t="n">
        <v>-0.75</v>
      </c>
      <c r="C96" s="4"/>
      <c r="D96" s="8" t="str">
        <f aca="false">IF(C96="Sí",$D$77*B96,"")</f>
        <v/>
      </c>
    </row>
    <row r="97" customFormat="false" ht="15.75" hidden="false" customHeight="true" outlineLevel="0" collapsed="false">
      <c r="A97" s="31" t="s">
        <v>138</v>
      </c>
      <c r="B97" s="39" t="n">
        <v>-1</v>
      </c>
      <c r="C97" s="4"/>
      <c r="D97" s="8" t="str">
        <f aca="false">IF(C97="Sí",$D$77*B97,"")</f>
        <v/>
      </c>
    </row>
    <row r="98" customFormat="false" ht="15.75" hidden="false" customHeight="true" outlineLevel="0" collapsed="false">
      <c r="A98" s="31" t="s">
        <v>139</v>
      </c>
      <c r="B98" s="39" t="n">
        <v>-0.5</v>
      </c>
      <c r="C98" s="4"/>
      <c r="D98" s="8" t="str">
        <f aca="false">IF(C98="Sí",$D$77*B98,"")</f>
        <v/>
      </c>
    </row>
    <row r="99" customFormat="false" ht="15.75" hidden="false" customHeight="true" outlineLevel="0" collapsed="false">
      <c r="A99" s="31" t="s">
        <v>140</v>
      </c>
      <c r="B99" s="39" t="n">
        <v>-1</v>
      </c>
      <c r="C99" s="4"/>
      <c r="D99" s="8" t="str">
        <f aca="false">IF(C99="Sí",$D$77*B99,"")</f>
        <v/>
      </c>
    </row>
    <row r="100" customFormat="false" ht="15.75" hidden="false" customHeight="true" outlineLevel="0" collapsed="false">
      <c r="A100" s="31" t="s">
        <v>141</v>
      </c>
      <c r="B100" s="39" t="n">
        <v>-1</v>
      </c>
      <c r="C100" s="4"/>
      <c r="D100" s="8" t="str">
        <f aca="false">IF(C100="Sí",$D$77*B100,"")</f>
        <v/>
      </c>
    </row>
    <row r="101" customFormat="false" ht="15.75" hidden="false" customHeight="true" outlineLevel="0" collapsed="false">
      <c r="A101" s="31" t="s">
        <v>142</v>
      </c>
      <c r="B101" s="39" t="n">
        <v>-0.25</v>
      </c>
      <c r="C101" s="4"/>
      <c r="D101" s="8" t="str">
        <f aca="false">IF(C101="Sí",$D$77*B101,"")</f>
        <v/>
      </c>
    </row>
    <row r="102" customFormat="false" ht="15.75" hidden="false" customHeight="true" outlineLevel="0" collapsed="false">
      <c r="A102" s="31" t="s">
        <v>143</v>
      </c>
      <c r="B102" s="39" t="n">
        <v>-1</v>
      </c>
      <c r="C102" s="4"/>
      <c r="D102" s="8" t="str">
        <f aca="false">IF(C102="Sí",$D$77*B102,"")</f>
        <v/>
      </c>
    </row>
    <row r="103" customFormat="false" ht="15.75" hidden="false" customHeight="true" outlineLevel="0" collapsed="false">
      <c r="A103" s="31" t="s">
        <v>144</v>
      </c>
      <c r="B103" s="39" t="n">
        <v>-1</v>
      </c>
      <c r="C103" s="4"/>
      <c r="D103" s="8" t="str">
        <f aca="false">IF(C103="Sí",$D$77*B103,"")</f>
        <v/>
      </c>
    </row>
    <row r="104" customFormat="false" ht="15.75" hidden="false" customHeight="true" outlineLevel="0" collapsed="false">
      <c r="A104" s="31" t="s">
        <v>145</v>
      </c>
      <c r="B104" s="39" t="n">
        <v>-1</v>
      </c>
      <c r="C104" s="4"/>
      <c r="D104" s="8" t="str">
        <f aca="false">IF(C104="Sí",$D$77*B104,"")</f>
        <v/>
      </c>
    </row>
    <row r="105" customFormat="false" ht="15.75" hidden="false" customHeight="true" outlineLevel="0" collapsed="false">
      <c r="A105" s="31" t="s">
        <v>146</v>
      </c>
      <c r="B105" s="39" t="n">
        <v>-1</v>
      </c>
      <c r="C105" s="4"/>
      <c r="D105" s="8" t="str">
        <f aca="false">IF(C105="Sí",$D$77*B105,"")</f>
        <v/>
      </c>
    </row>
    <row r="106" customFormat="false" ht="15.75" hidden="false" customHeight="true" outlineLevel="0" collapsed="false">
      <c r="A106" s="34" t="s">
        <v>147</v>
      </c>
      <c r="B106" s="36"/>
      <c r="C106" s="36"/>
      <c r="D106" s="16" t="str">
        <f aca="false">IF(SUM(D90:D105)=0,"",SUM(D90:D105))</f>
        <v/>
      </c>
    </row>
    <row r="107" customFormat="false" ht="1.5" hidden="false" customHeight="true" outlineLevel="0" collapsed="false">
      <c r="A107" s="18"/>
      <c r="B107" s="18"/>
      <c r="C107" s="18"/>
      <c r="D107" s="18"/>
    </row>
    <row r="108" customFormat="false" ht="21.75" hidden="false" customHeight="true" outlineLevel="0" collapsed="false">
      <c r="A108" s="40" t="s">
        <v>148</v>
      </c>
      <c r="B108" s="41"/>
      <c r="C108" s="41"/>
      <c r="D108" s="42" t="e">
        <f aca="false">IF(MAX(0,ROUND($D$77+$D$106,2))=0,"",MAX(0,ROUND($D$77+$D$106,2)))</f>
        <v>#VALUE!</v>
      </c>
    </row>
    <row r="109" customFormat="false" ht="1.5" hidden="false" customHeight="true" outlineLevel="0" collapsed="false">
      <c r="A109" s="18"/>
      <c r="B109" s="18"/>
      <c r="C109" s="18"/>
      <c r="D109" s="18"/>
    </row>
    <row r="110" customFormat="false" ht="15.75" hidden="false" customHeight="true" outlineLevel="0" collapsed="false">
      <c r="A110" s="43" t="s">
        <v>149</v>
      </c>
      <c r="B110" s="18"/>
      <c r="C110" s="18"/>
      <c r="D110" s="18"/>
    </row>
    <row r="111" customFormat="false" ht="18" hidden="false" customHeight="true" outlineLevel="0" collapsed="false">
      <c r="A111" s="37"/>
      <c r="B111" s="37"/>
      <c r="C111" s="37"/>
      <c r="D111" s="37"/>
    </row>
    <row r="112" customFormat="false" ht="18" hidden="false" customHeight="true" outlineLevel="0" collapsed="false">
      <c r="A112" s="37"/>
      <c r="B112" s="37"/>
      <c r="C112" s="37"/>
      <c r="D112" s="37"/>
    </row>
    <row r="113" customFormat="false" ht="3" hidden="false" customHeight="true" outlineLevel="0" collapsed="false">
      <c r="A113" s="18"/>
      <c r="B113" s="18"/>
      <c r="C113" s="18"/>
      <c r="D113" s="18"/>
    </row>
    <row r="114" customFormat="false" ht="12" hidden="false" customHeight="true" outlineLevel="0" collapsed="false">
      <c r="A114" s="18"/>
      <c r="B114" s="18"/>
      <c r="C114" s="18"/>
      <c r="D114" s="18"/>
    </row>
    <row r="115" customFormat="false" ht="8.25" hidden="false" customHeight="true" outlineLevel="0" collapsed="false">
      <c r="A115" s="44" t="s">
        <v>150</v>
      </c>
      <c r="B115" s="18"/>
      <c r="C115" s="44" t="s">
        <v>150</v>
      </c>
      <c r="D115" s="18"/>
    </row>
    <row r="116" customFormat="false" ht="13.5" hidden="false" customHeight="true" outlineLevel="0" collapsed="false">
      <c r="A116" s="44" t="s">
        <v>151</v>
      </c>
      <c r="B116" s="18"/>
      <c r="C116" s="44" t="s">
        <v>152</v>
      </c>
      <c r="D116" s="18"/>
    </row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</sheetData>
  <mergeCells count="9">
    <mergeCell ref="A8:D8"/>
    <mergeCell ref="A10:B10"/>
    <mergeCell ref="C10:D10"/>
    <mergeCell ref="A11:B11"/>
    <mergeCell ref="C11:D11"/>
    <mergeCell ref="A12:B12"/>
    <mergeCell ref="C12:D12"/>
    <mergeCell ref="A111:D111"/>
    <mergeCell ref="A112:D112"/>
  </mergeCells>
  <conditionalFormatting sqref="D15:D76">
    <cfRule type="cellIs" priority="2" operator="greaterThan" aboveAverage="0" equalAverage="0" bottom="0" percent="0" rank="0" text="" dxfId="10">
      <formula>B15</formula>
    </cfRule>
  </conditionalFormatting>
  <dataValidations count="1">
    <dataValidation allowBlank="true" errorStyle="stop" operator="equal" showDropDown="false" showErrorMessage="false" showInputMessage="false" sqref="B81:B86 C90:C105" type="list">
      <formula1>"Sí,No"</formula1>
      <formula2>0</formula2>
    </dataValidation>
  </dataValidations>
  <printOptions headings="false" gridLines="false" gridLinesSet="true" horizontalCentered="true" verticalCentered="false"/>
  <pageMargins left="0.39375" right="0.39375" top="0.196527777777778" bottom="0.196527777777778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86"/>
  <sheetViews>
    <sheetView showFormulas="false" showGridLines="false" showRowColHeaders="true" showZeros="true" rightToLeft="false" tabSelected="false" showOutlineSymbols="true" defaultGridColor="true" view="normal" topLeftCell="A94" colorId="64" zoomScale="100" zoomScaleNormal="100" zoomScalePageLayoutView="100" workbookViewId="0">
      <selection pane="topLeft" activeCell="C11" activeCellId="0" sqref="C1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87.43"/>
    <col collapsed="false" customWidth="true" hidden="false" outlineLevel="0" max="2" min="2" style="1" width="11"/>
    <col collapsed="false" customWidth="true" hidden="false" outlineLevel="0" max="3" min="3" style="1" width="34"/>
    <col collapsed="false" customWidth="true" hidden="false" outlineLevel="0" max="4" min="4" style="1" width="11"/>
    <col collapsed="false" customWidth="true" hidden="false" outlineLevel="0" max="26" min="5" style="1" width="8.71"/>
  </cols>
  <sheetData>
    <row r="1" customFormat="false" ht="13.8" hidden="false" customHeight="false" outlineLevel="0" collapsed="false">
      <c r="A1" s="17" t="s">
        <v>41</v>
      </c>
      <c r="B1" s="18"/>
      <c r="C1" s="18"/>
      <c r="D1" s="18"/>
    </row>
    <row r="2" customFormat="false" ht="13.8" hidden="false" customHeight="false" outlineLevel="0" collapsed="false">
      <c r="A2" s="17" t="s">
        <v>42</v>
      </c>
      <c r="B2" s="18"/>
      <c r="C2" s="18"/>
      <c r="D2" s="18"/>
    </row>
    <row r="3" customFormat="false" ht="13.8" hidden="false" customHeight="false" outlineLevel="0" collapsed="false">
      <c r="A3" s="17" t="s">
        <v>43</v>
      </c>
      <c r="B3" s="18"/>
      <c r="C3" s="18"/>
      <c r="D3" s="18"/>
    </row>
    <row r="4" customFormat="false" ht="13.8" hidden="false" customHeight="false" outlineLevel="0" collapsed="false">
      <c r="A4" s="17" t="s">
        <v>44</v>
      </c>
      <c r="B4" s="18"/>
      <c r="C4" s="18"/>
      <c r="D4" s="18"/>
    </row>
    <row r="5" customFormat="false" ht="13.8" hidden="false" customHeight="false" outlineLevel="0" collapsed="false">
      <c r="A5" s="17" t="s">
        <v>45</v>
      </c>
      <c r="B5" s="18"/>
      <c r="C5" s="18"/>
      <c r="D5" s="18"/>
    </row>
    <row r="6" customFormat="false" ht="13.8" hidden="false" customHeight="false" outlineLevel="0" collapsed="false">
      <c r="A6" s="17" t="s">
        <v>46</v>
      </c>
      <c r="B6" s="18"/>
      <c r="C6" s="18"/>
      <c r="D6" s="18"/>
    </row>
    <row r="7" customFormat="false" ht="13.8" hidden="false" customHeight="false" outlineLevel="0" collapsed="false">
      <c r="A7" s="17"/>
      <c r="B7" s="18"/>
      <c r="C7" s="18"/>
      <c r="D7" s="18"/>
    </row>
    <row r="8" customFormat="false" ht="13.8" hidden="false" customHeight="false" outlineLevel="0" collapsed="false">
      <c r="A8" s="19" t="s">
        <v>47</v>
      </c>
      <c r="B8" s="19"/>
      <c r="C8" s="19"/>
      <c r="D8" s="19"/>
    </row>
    <row r="9" customFormat="false" ht="13.8" hidden="false" customHeight="false" outlineLevel="0" collapsed="false">
      <c r="A9" s="20"/>
      <c r="B9" s="20"/>
      <c r="C9" s="20"/>
      <c r="D9" s="20"/>
    </row>
    <row r="10" customFormat="false" ht="13.8" hidden="false" customHeight="false" outlineLevel="0" collapsed="false">
      <c r="A10" s="21" t="s">
        <v>48</v>
      </c>
      <c r="B10" s="21"/>
      <c r="C10" s="22" t="n">
        <v>46282</v>
      </c>
      <c r="D10" s="22"/>
    </row>
    <row r="11" customFormat="false" ht="13.8" hidden="false" customHeight="false" outlineLevel="0" collapsed="false">
      <c r="A11" s="21" t="s">
        <v>49</v>
      </c>
      <c r="B11" s="21"/>
      <c r="C11" s="23" t="str">
        <f aca="false">VLOOKUP(C12, Consolidado!$B$3:$C$26, 2, 0)</f>
        <v>BRYAN ALEXANDER MARTÍNEZ FLORES</v>
      </c>
      <c r="D11" s="23"/>
    </row>
    <row r="12" customFormat="false" ht="13.8" hidden="false" customHeight="false" outlineLevel="0" collapsed="false">
      <c r="A12" s="21" t="s">
        <v>50</v>
      </c>
      <c r="B12" s="21"/>
      <c r="C12" s="23" t="n">
        <v>202201204</v>
      </c>
      <c r="D12" s="23"/>
    </row>
    <row r="13" customFormat="false" ht="13.8" hidden="false" customHeight="false" outlineLevel="0" collapsed="false">
      <c r="A13" s="18"/>
      <c r="B13" s="18"/>
      <c r="C13" s="18"/>
      <c r="D13" s="18"/>
    </row>
    <row r="14" customFormat="false" ht="19.5" hidden="false" customHeight="true" outlineLevel="0" collapsed="false">
      <c r="A14" s="24" t="s">
        <v>51</v>
      </c>
      <c r="B14" s="24" t="s">
        <v>52</v>
      </c>
      <c r="C14" s="24" t="s">
        <v>53</v>
      </c>
      <c r="D14" s="24" t="s">
        <v>54</v>
      </c>
    </row>
    <row r="15" customFormat="false" ht="19.5" hidden="false" customHeight="true" outlineLevel="0" collapsed="false">
      <c r="A15" s="25" t="s">
        <v>55</v>
      </c>
      <c r="B15" s="26" t="n">
        <f aca="false">B16+B21+B25</f>
        <v>20</v>
      </c>
      <c r="C15" s="25"/>
      <c r="D15" s="27" t="n">
        <f aca="false">IF(D16+D21+D25=0,"",D16+D21+D25)</f>
        <v>12</v>
      </c>
    </row>
    <row r="16" customFormat="false" ht="18" hidden="false" customHeight="true" outlineLevel="0" collapsed="false">
      <c r="A16" s="28" t="s">
        <v>56</v>
      </c>
      <c r="B16" s="29" t="n">
        <f aca="false">SUM(B17:B20)</f>
        <v>8</v>
      </c>
      <c r="C16" s="28"/>
      <c r="D16" s="30" t="n">
        <f aca="false">SUM(D17:D20)</f>
        <v>0</v>
      </c>
    </row>
    <row r="17" customFormat="false" ht="15" hidden="false" customHeight="true" outlineLevel="0" collapsed="false">
      <c r="A17" s="31" t="s">
        <v>57</v>
      </c>
      <c r="B17" s="32" t="n">
        <v>2</v>
      </c>
      <c r="C17" s="31"/>
      <c r="D17" s="33" t="n">
        <v>0</v>
      </c>
    </row>
    <row r="18" customFormat="false" ht="15" hidden="false" customHeight="true" outlineLevel="0" collapsed="false">
      <c r="A18" s="31" t="s">
        <v>58</v>
      </c>
      <c r="B18" s="32" t="n">
        <v>2</v>
      </c>
      <c r="C18" s="31"/>
      <c r="D18" s="33" t="n">
        <v>0</v>
      </c>
    </row>
    <row r="19" customFormat="false" ht="15" hidden="false" customHeight="true" outlineLevel="0" collapsed="false">
      <c r="A19" s="31" t="s">
        <v>59</v>
      </c>
      <c r="B19" s="32" t="n">
        <v>2</v>
      </c>
      <c r="C19" s="31"/>
      <c r="D19" s="33" t="n">
        <v>0</v>
      </c>
    </row>
    <row r="20" customFormat="false" ht="15" hidden="false" customHeight="true" outlineLevel="0" collapsed="false">
      <c r="A20" s="31" t="s">
        <v>60</v>
      </c>
      <c r="B20" s="32" t="n">
        <v>2</v>
      </c>
      <c r="C20" s="31"/>
      <c r="D20" s="33" t="n">
        <v>0</v>
      </c>
    </row>
    <row r="21" customFormat="false" ht="18" hidden="false" customHeight="true" outlineLevel="0" collapsed="false">
      <c r="A21" s="28" t="s">
        <v>61</v>
      </c>
      <c r="B21" s="29" t="n">
        <f aca="false">SUM(B22:B24)</f>
        <v>6</v>
      </c>
      <c r="C21" s="28"/>
      <c r="D21" s="30" t="n">
        <f aca="false">SUM(D22:D24)</f>
        <v>6</v>
      </c>
    </row>
    <row r="22" customFormat="false" ht="15" hidden="false" customHeight="true" outlineLevel="0" collapsed="false">
      <c r="A22" s="31" t="s">
        <v>62</v>
      </c>
      <c r="B22" s="32" t="n">
        <v>2</v>
      </c>
      <c r="C22" s="31"/>
      <c r="D22" s="33" t="n">
        <v>2</v>
      </c>
    </row>
    <row r="23" customFormat="false" ht="15" hidden="false" customHeight="true" outlineLevel="0" collapsed="false">
      <c r="A23" s="31" t="s">
        <v>63</v>
      </c>
      <c r="B23" s="32" t="n">
        <v>2</v>
      </c>
      <c r="C23" s="31"/>
      <c r="D23" s="33" t="n">
        <v>2</v>
      </c>
    </row>
    <row r="24" customFormat="false" ht="15" hidden="false" customHeight="true" outlineLevel="0" collapsed="false">
      <c r="A24" s="31" t="s">
        <v>64</v>
      </c>
      <c r="B24" s="32" t="n">
        <v>2</v>
      </c>
      <c r="C24" s="31"/>
      <c r="D24" s="33" t="n">
        <v>2</v>
      </c>
    </row>
    <row r="25" customFormat="false" ht="18" hidden="false" customHeight="true" outlineLevel="0" collapsed="false">
      <c r="A25" s="28" t="s">
        <v>65</v>
      </c>
      <c r="B25" s="29" t="n">
        <f aca="false">SUM(B26:B28)</f>
        <v>6</v>
      </c>
      <c r="C25" s="28"/>
      <c r="D25" s="30" t="n">
        <f aca="false">SUM(D26:D28)</f>
        <v>6</v>
      </c>
    </row>
    <row r="26" customFormat="false" ht="16.5" hidden="false" customHeight="true" outlineLevel="0" collapsed="false">
      <c r="A26" s="31" t="s">
        <v>66</v>
      </c>
      <c r="B26" s="32" t="n">
        <v>2</v>
      </c>
      <c r="C26" s="31"/>
      <c r="D26" s="33" t="n">
        <v>2</v>
      </c>
    </row>
    <row r="27" customFormat="false" ht="15" hidden="false" customHeight="true" outlineLevel="0" collapsed="false">
      <c r="A27" s="31" t="s">
        <v>67</v>
      </c>
      <c r="B27" s="32" t="n">
        <v>2</v>
      </c>
      <c r="C27" s="31"/>
      <c r="D27" s="33" t="n">
        <v>2</v>
      </c>
    </row>
    <row r="28" customFormat="false" ht="15" hidden="false" customHeight="true" outlineLevel="0" collapsed="false">
      <c r="A28" s="31" t="s">
        <v>68</v>
      </c>
      <c r="B28" s="32" t="n">
        <v>2</v>
      </c>
      <c r="C28" s="31"/>
      <c r="D28" s="33" t="n">
        <v>2</v>
      </c>
    </row>
    <row r="29" customFormat="false" ht="19.5" hidden="false" customHeight="true" outlineLevel="0" collapsed="false">
      <c r="A29" s="25" t="s">
        <v>69</v>
      </c>
      <c r="B29" s="26" t="n">
        <f aca="false">B30+B34+B40+B44+B49+B53+B58+B63</f>
        <v>55</v>
      </c>
      <c r="C29" s="25"/>
      <c r="D29" s="27" t="n">
        <f aca="false">IF(D30+D34+D40+D44+D49+D53+D58+D63=0,"",D30+D34+D40+D44+D49+D53+D58+D63)</f>
        <v>35</v>
      </c>
    </row>
    <row r="30" customFormat="false" ht="18" hidden="false" customHeight="true" outlineLevel="0" collapsed="false">
      <c r="A30" s="28" t="s">
        <v>70</v>
      </c>
      <c r="B30" s="29" t="n">
        <f aca="false">SUM(B31:B33)</f>
        <v>5</v>
      </c>
      <c r="C30" s="28"/>
      <c r="D30" s="30" t="n">
        <f aca="false">SUM(D31:D33)</f>
        <v>0</v>
      </c>
    </row>
    <row r="31" customFormat="false" ht="15" hidden="false" customHeight="true" outlineLevel="0" collapsed="false">
      <c r="A31" s="31" t="s">
        <v>71</v>
      </c>
      <c r="B31" s="32" t="n">
        <v>2</v>
      </c>
      <c r="C31" s="31"/>
      <c r="D31" s="33" t="n">
        <v>0</v>
      </c>
    </row>
    <row r="32" customFormat="false" ht="15" hidden="false" customHeight="true" outlineLevel="0" collapsed="false">
      <c r="A32" s="31" t="s">
        <v>72</v>
      </c>
      <c r="B32" s="32" t="n">
        <v>2</v>
      </c>
      <c r="C32" s="31"/>
      <c r="D32" s="33" t="n">
        <v>0</v>
      </c>
    </row>
    <row r="33" customFormat="false" ht="15" hidden="false" customHeight="true" outlineLevel="0" collapsed="false">
      <c r="A33" s="31" t="s">
        <v>73</v>
      </c>
      <c r="B33" s="32" t="n">
        <v>1</v>
      </c>
      <c r="C33" s="31"/>
      <c r="D33" s="33" t="n">
        <v>0</v>
      </c>
    </row>
    <row r="34" customFormat="false" ht="18" hidden="false" customHeight="true" outlineLevel="0" collapsed="false">
      <c r="A34" s="28" t="s">
        <v>74</v>
      </c>
      <c r="B34" s="29" t="n">
        <f aca="false">SUM(B35:B39)</f>
        <v>10</v>
      </c>
      <c r="C34" s="28"/>
      <c r="D34" s="30" t="n">
        <f aca="false">SUM(D35:D39)</f>
        <v>10</v>
      </c>
    </row>
    <row r="35" customFormat="false" ht="15" hidden="false" customHeight="true" outlineLevel="0" collapsed="false">
      <c r="A35" s="31" t="s">
        <v>75</v>
      </c>
      <c r="B35" s="32" t="n">
        <v>3</v>
      </c>
      <c r="C35" s="31"/>
      <c r="D35" s="33" t="n">
        <v>3</v>
      </c>
    </row>
    <row r="36" customFormat="false" ht="15" hidden="false" customHeight="true" outlineLevel="0" collapsed="false">
      <c r="A36" s="31" t="s">
        <v>76</v>
      </c>
      <c r="B36" s="32" t="n">
        <v>2</v>
      </c>
      <c r="C36" s="31"/>
      <c r="D36" s="33" t="n">
        <v>2</v>
      </c>
    </row>
    <row r="37" customFormat="false" ht="15" hidden="false" customHeight="true" outlineLevel="0" collapsed="false">
      <c r="A37" s="31" t="s">
        <v>77</v>
      </c>
      <c r="B37" s="32" t="n">
        <v>2</v>
      </c>
      <c r="C37" s="31"/>
      <c r="D37" s="33" t="n">
        <v>2</v>
      </c>
    </row>
    <row r="38" customFormat="false" ht="15" hidden="false" customHeight="true" outlineLevel="0" collapsed="false">
      <c r="A38" s="31" t="s">
        <v>78</v>
      </c>
      <c r="B38" s="32" t="n">
        <v>1</v>
      </c>
      <c r="C38" s="31"/>
      <c r="D38" s="33" t="n">
        <v>1</v>
      </c>
    </row>
    <row r="39" customFormat="false" ht="15" hidden="false" customHeight="true" outlineLevel="0" collapsed="false">
      <c r="A39" s="31" t="s">
        <v>79</v>
      </c>
      <c r="B39" s="32" t="n">
        <v>2</v>
      </c>
      <c r="C39" s="31"/>
      <c r="D39" s="33" t="n">
        <v>2</v>
      </c>
    </row>
    <row r="40" customFormat="false" ht="18" hidden="false" customHeight="true" outlineLevel="0" collapsed="false">
      <c r="A40" s="28" t="s">
        <v>80</v>
      </c>
      <c r="B40" s="29" t="n">
        <f aca="false">SUM(B41:B43)</f>
        <v>6</v>
      </c>
      <c r="C40" s="28"/>
      <c r="D40" s="30" t="n">
        <f aca="false">SUM(D41:D43)</f>
        <v>4</v>
      </c>
    </row>
    <row r="41" customFormat="false" ht="15" hidden="false" customHeight="true" outlineLevel="0" collapsed="false">
      <c r="A41" s="31" t="s">
        <v>81</v>
      </c>
      <c r="B41" s="32" t="n">
        <v>2</v>
      </c>
      <c r="C41" s="31"/>
      <c r="D41" s="33" t="n">
        <v>2</v>
      </c>
    </row>
    <row r="42" customFormat="false" ht="15" hidden="false" customHeight="true" outlineLevel="0" collapsed="false">
      <c r="A42" s="31" t="s">
        <v>82</v>
      </c>
      <c r="B42" s="32" t="n">
        <v>2</v>
      </c>
      <c r="C42" s="31"/>
      <c r="D42" s="33" t="n">
        <v>2</v>
      </c>
    </row>
    <row r="43" customFormat="false" ht="15" hidden="false" customHeight="true" outlineLevel="0" collapsed="false">
      <c r="A43" s="31" t="s">
        <v>83</v>
      </c>
      <c r="B43" s="32" t="n">
        <v>2</v>
      </c>
      <c r="C43" s="31"/>
      <c r="D43" s="33" t="n">
        <v>0</v>
      </c>
    </row>
    <row r="44" customFormat="false" ht="18" hidden="false" customHeight="true" outlineLevel="0" collapsed="false">
      <c r="A44" s="28" t="s">
        <v>84</v>
      </c>
      <c r="B44" s="29" t="n">
        <f aca="false">SUM(B45:B48)</f>
        <v>8</v>
      </c>
      <c r="C44" s="28"/>
      <c r="D44" s="30" t="n">
        <f aca="false">SUM(D45:D48)</f>
        <v>8</v>
      </c>
    </row>
    <row r="45" customFormat="false" ht="15" hidden="false" customHeight="true" outlineLevel="0" collapsed="false">
      <c r="A45" s="31" t="s">
        <v>85</v>
      </c>
      <c r="B45" s="32" t="n">
        <v>2</v>
      </c>
      <c r="C45" s="31"/>
      <c r="D45" s="33" t="n">
        <v>2</v>
      </c>
    </row>
    <row r="46" customFormat="false" ht="15" hidden="false" customHeight="true" outlineLevel="0" collapsed="false">
      <c r="A46" s="31" t="s">
        <v>86</v>
      </c>
      <c r="B46" s="32" t="n">
        <v>3</v>
      </c>
      <c r="C46" s="31"/>
      <c r="D46" s="33" t="n">
        <v>3</v>
      </c>
    </row>
    <row r="47" customFormat="false" ht="15" hidden="false" customHeight="true" outlineLevel="0" collapsed="false">
      <c r="A47" s="31" t="s">
        <v>87</v>
      </c>
      <c r="B47" s="32" t="n">
        <v>2</v>
      </c>
      <c r="C47" s="31"/>
      <c r="D47" s="33" t="n">
        <v>2</v>
      </c>
    </row>
    <row r="48" customFormat="false" ht="15" hidden="false" customHeight="true" outlineLevel="0" collapsed="false">
      <c r="A48" s="31" t="s">
        <v>88</v>
      </c>
      <c r="B48" s="32" t="n">
        <v>1</v>
      </c>
      <c r="C48" s="31"/>
      <c r="D48" s="33" t="n">
        <v>1</v>
      </c>
    </row>
    <row r="49" customFormat="false" ht="18" hidden="false" customHeight="true" outlineLevel="0" collapsed="false">
      <c r="A49" s="28" t="s">
        <v>89</v>
      </c>
      <c r="B49" s="29" t="n">
        <f aca="false">SUM(B50:B52)</f>
        <v>6</v>
      </c>
      <c r="C49" s="28"/>
      <c r="D49" s="30" t="n">
        <f aca="false">SUM(D50:D52)</f>
        <v>5</v>
      </c>
    </row>
    <row r="50" customFormat="false" ht="15" hidden="false" customHeight="true" outlineLevel="0" collapsed="false">
      <c r="A50" s="31" t="s">
        <v>90</v>
      </c>
      <c r="B50" s="32" t="n">
        <v>2</v>
      </c>
      <c r="C50" s="31"/>
      <c r="D50" s="33" t="n">
        <v>2</v>
      </c>
    </row>
    <row r="51" customFormat="false" ht="15" hidden="false" customHeight="true" outlineLevel="0" collapsed="false">
      <c r="A51" s="31" t="s">
        <v>91</v>
      </c>
      <c r="B51" s="32" t="n">
        <v>2</v>
      </c>
      <c r="C51" s="31"/>
      <c r="D51" s="33" t="n">
        <v>1</v>
      </c>
    </row>
    <row r="52" customFormat="false" ht="15" hidden="false" customHeight="true" outlineLevel="0" collapsed="false">
      <c r="A52" s="31" t="s">
        <v>92</v>
      </c>
      <c r="B52" s="32" t="n">
        <v>2</v>
      </c>
      <c r="C52" s="31"/>
      <c r="D52" s="33" t="n">
        <v>2</v>
      </c>
    </row>
    <row r="53" customFormat="false" ht="18" hidden="false" customHeight="true" outlineLevel="0" collapsed="false">
      <c r="A53" s="28" t="s">
        <v>93</v>
      </c>
      <c r="B53" s="29" t="n">
        <f aca="false">SUM(B54:B57)</f>
        <v>8</v>
      </c>
      <c r="C53" s="28"/>
      <c r="D53" s="30" t="n">
        <f aca="false">SUM(D54:D57)</f>
        <v>8</v>
      </c>
    </row>
    <row r="54" customFormat="false" ht="15" hidden="false" customHeight="true" outlineLevel="0" collapsed="false">
      <c r="A54" s="31" t="s">
        <v>94</v>
      </c>
      <c r="B54" s="32" t="n">
        <v>2</v>
      </c>
      <c r="C54" s="31"/>
      <c r="D54" s="33" t="n">
        <v>2</v>
      </c>
    </row>
    <row r="55" customFormat="false" ht="15" hidden="false" customHeight="true" outlineLevel="0" collapsed="false">
      <c r="A55" s="31" t="s">
        <v>95</v>
      </c>
      <c r="B55" s="32" t="n">
        <v>3</v>
      </c>
      <c r="C55" s="31"/>
      <c r="D55" s="33" t="n">
        <v>3</v>
      </c>
    </row>
    <row r="56" customFormat="false" ht="15" hidden="false" customHeight="true" outlineLevel="0" collapsed="false">
      <c r="A56" s="31" t="s">
        <v>96</v>
      </c>
      <c r="B56" s="32" t="n">
        <v>2</v>
      </c>
      <c r="C56" s="31"/>
      <c r="D56" s="33" t="n">
        <v>2</v>
      </c>
    </row>
    <row r="57" customFormat="false" ht="15" hidden="false" customHeight="true" outlineLevel="0" collapsed="false">
      <c r="A57" s="31" t="s">
        <v>97</v>
      </c>
      <c r="B57" s="32" t="n">
        <v>1</v>
      </c>
      <c r="C57" s="31"/>
      <c r="D57" s="33" t="n">
        <v>1</v>
      </c>
    </row>
    <row r="58" customFormat="false" ht="18" hidden="false" customHeight="true" outlineLevel="0" collapsed="false">
      <c r="A58" s="28" t="s">
        <v>98</v>
      </c>
      <c r="B58" s="29" t="n">
        <f aca="false">SUM(B59:B62)</f>
        <v>6</v>
      </c>
      <c r="C58" s="28"/>
      <c r="D58" s="30" t="n">
        <f aca="false">SUM(D59:D62)</f>
        <v>0</v>
      </c>
    </row>
    <row r="59" customFormat="false" ht="15" hidden="false" customHeight="true" outlineLevel="0" collapsed="false">
      <c r="A59" s="31" t="s">
        <v>99</v>
      </c>
      <c r="B59" s="32" t="n">
        <v>2</v>
      </c>
      <c r="C59" s="31"/>
      <c r="D59" s="33" t="n">
        <v>0</v>
      </c>
    </row>
    <row r="60" customFormat="false" ht="15" hidden="false" customHeight="true" outlineLevel="0" collapsed="false">
      <c r="A60" s="31" t="s">
        <v>100</v>
      </c>
      <c r="B60" s="32" t="n">
        <v>2</v>
      </c>
      <c r="C60" s="31"/>
      <c r="D60" s="33" t="n">
        <v>0</v>
      </c>
    </row>
    <row r="61" customFormat="false" ht="15" hidden="false" customHeight="true" outlineLevel="0" collapsed="false">
      <c r="A61" s="31" t="s">
        <v>101</v>
      </c>
      <c r="B61" s="32" t="n">
        <v>1</v>
      </c>
      <c r="C61" s="31"/>
      <c r="D61" s="33" t="n">
        <v>0</v>
      </c>
    </row>
    <row r="62" customFormat="false" ht="15" hidden="false" customHeight="true" outlineLevel="0" collapsed="false">
      <c r="A62" s="31" t="s">
        <v>102</v>
      </c>
      <c r="B62" s="32" t="n">
        <v>1</v>
      </c>
      <c r="C62" s="31"/>
      <c r="D62" s="33" t="n">
        <v>0</v>
      </c>
    </row>
    <row r="63" customFormat="false" ht="15" hidden="false" customHeight="true" outlineLevel="0" collapsed="false">
      <c r="A63" s="28" t="s">
        <v>103</v>
      </c>
      <c r="B63" s="29" t="n">
        <f aca="false">SUM(B64:B65)</f>
        <v>6</v>
      </c>
      <c r="C63" s="28"/>
      <c r="D63" s="30" t="n">
        <f aca="false">SUM(D64:D65)</f>
        <v>0</v>
      </c>
    </row>
    <row r="64" customFormat="false" ht="15" hidden="false" customHeight="true" outlineLevel="0" collapsed="false">
      <c r="A64" s="31" t="s">
        <v>104</v>
      </c>
      <c r="B64" s="32" t="n">
        <v>3</v>
      </c>
      <c r="C64" s="31"/>
      <c r="D64" s="33" t="n">
        <v>0</v>
      </c>
    </row>
    <row r="65" customFormat="false" ht="15" hidden="false" customHeight="true" outlineLevel="0" collapsed="false">
      <c r="A65" s="31" t="s">
        <v>105</v>
      </c>
      <c r="B65" s="32" t="n">
        <v>3</v>
      </c>
      <c r="C65" s="31"/>
      <c r="D65" s="33" t="n">
        <v>0</v>
      </c>
    </row>
    <row r="66" customFormat="false" ht="19.5" hidden="false" customHeight="true" outlineLevel="0" collapsed="false">
      <c r="A66" s="25" t="s">
        <v>106</v>
      </c>
      <c r="B66" s="26" t="n">
        <f aca="false">B67+B73</f>
        <v>25</v>
      </c>
      <c r="C66" s="25"/>
      <c r="D66" s="27" t="n">
        <f aca="false">IF(D67+D73=0,"",D67+D73)</f>
        <v>25</v>
      </c>
    </row>
    <row r="67" customFormat="false" ht="18" hidden="false" customHeight="true" outlineLevel="0" collapsed="false">
      <c r="A67" s="28" t="s">
        <v>107</v>
      </c>
      <c r="B67" s="29" t="n">
        <f aca="false">SUM(B68:B72)</f>
        <v>10</v>
      </c>
      <c r="C67" s="28"/>
      <c r="D67" s="30" t="n">
        <f aca="false">IF(SUM(D68:D72)=0,"",SUM(D68:D72))</f>
        <v>10</v>
      </c>
    </row>
    <row r="68" customFormat="false" ht="15" hidden="false" customHeight="true" outlineLevel="0" collapsed="false">
      <c r="A68" s="31" t="s">
        <v>108</v>
      </c>
      <c r="B68" s="32" t="n">
        <v>2</v>
      </c>
      <c r="C68" s="31"/>
      <c r="D68" s="33" t="n">
        <v>2</v>
      </c>
    </row>
    <row r="69" customFormat="false" ht="15" hidden="false" customHeight="true" outlineLevel="0" collapsed="false">
      <c r="A69" s="31" t="s">
        <v>109</v>
      </c>
      <c r="B69" s="32" t="n">
        <v>2</v>
      </c>
      <c r="C69" s="31"/>
      <c r="D69" s="33" t="n">
        <v>2</v>
      </c>
    </row>
    <row r="70" customFormat="false" ht="15" hidden="false" customHeight="true" outlineLevel="0" collapsed="false">
      <c r="A70" s="31" t="s">
        <v>110</v>
      </c>
      <c r="B70" s="32" t="n">
        <v>2</v>
      </c>
      <c r="C70" s="31"/>
      <c r="D70" s="33" t="n">
        <v>2</v>
      </c>
    </row>
    <row r="71" customFormat="false" ht="15" hidden="false" customHeight="true" outlineLevel="0" collapsed="false">
      <c r="A71" s="31" t="s">
        <v>111</v>
      </c>
      <c r="B71" s="32" t="n">
        <v>2</v>
      </c>
      <c r="C71" s="31"/>
      <c r="D71" s="33" t="n">
        <v>2</v>
      </c>
    </row>
    <row r="72" customFormat="false" ht="15" hidden="false" customHeight="true" outlineLevel="0" collapsed="false">
      <c r="A72" s="31" t="s">
        <v>112</v>
      </c>
      <c r="B72" s="32" t="n">
        <v>2</v>
      </c>
      <c r="C72" s="31"/>
      <c r="D72" s="33" t="n">
        <v>2</v>
      </c>
    </row>
    <row r="73" customFormat="false" ht="18" hidden="false" customHeight="true" outlineLevel="0" collapsed="false">
      <c r="A73" s="28" t="s">
        <v>113</v>
      </c>
      <c r="B73" s="29" t="n">
        <f aca="false">SUM(B74:B76)</f>
        <v>15</v>
      </c>
      <c r="C73" s="28"/>
      <c r="D73" s="30" t="n">
        <f aca="false">IF(SUM(D74:D76)=0,"",SUM(D74:D76))</f>
        <v>15</v>
      </c>
    </row>
    <row r="74" customFormat="false" ht="15" hidden="false" customHeight="true" outlineLevel="0" collapsed="false">
      <c r="A74" s="31" t="s">
        <v>114</v>
      </c>
      <c r="B74" s="32" t="n">
        <v>5</v>
      </c>
      <c r="C74" s="31"/>
      <c r="D74" s="33" t="n">
        <v>5</v>
      </c>
    </row>
    <row r="75" customFormat="false" ht="15" hidden="false" customHeight="true" outlineLevel="0" collapsed="false">
      <c r="A75" s="31" t="s">
        <v>115</v>
      </c>
      <c r="B75" s="32" t="n">
        <v>5</v>
      </c>
      <c r="C75" s="31"/>
      <c r="D75" s="33" t="n">
        <v>5</v>
      </c>
    </row>
    <row r="76" customFormat="false" ht="15" hidden="false" customHeight="true" outlineLevel="0" collapsed="false">
      <c r="A76" s="31" t="s">
        <v>116</v>
      </c>
      <c r="B76" s="32" t="n">
        <v>5</v>
      </c>
      <c r="C76" s="31"/>
      <c r="D76" s="33" t="n">
        <v>5</v>
      </c>
    </row>
    <row r="77" customFormat="false" ht="19.5" hidden="false" customHeight="true" outlineLevel="0" collapsed="false">
      <c r="A77" s="34" t="s">
        <v>117</v>
      </c>
      <c r="B77" s="35" t="n">
        <f aca="false">B15+B29+B66</f>
        <v>100</v>
      </c>
      <c r="C77" s="36"/>
      <c r="D77" s="16" t="n">
        <f aca="false">IF(D15+D29+D66=0,"",D15+D29+D66)</f>
        <v>72</v>
      </c>
    </row>
    <row r="78" customFormat="false" ht="1.5" hidden="false" customHeight="true" outlineLevel="0" collapsed="false">
      <c r="A78" s="18"/>
      <c r="B78" s="18"/>
      <c r="C78" s="18"/>
      <c r="D78" s="18"/>
    </row>
    <row r="79" customFormat="false" ht="15.75" hidden="false" customHeight="true" outlineLevel="0" collapsed="false">
      <c r="A79" s="17" t="s">
        <v>118</v>
      </c>
      <c r="B79" s="18"/>
      <c r="C79" s="18"/>
      <c r="D79" s="18"/>
    </row>
    <row r="80" customFormat="false" ht="15.75" hidden="false" customHeight="true" outlineLevel="0" collapsed="false">
      <c r="A80" s="24" t="s">
        <v>119</v>
      </c>
      <c r="B80" s="24" t="s">
        <v>120</v>
      </c>
      <c r="C80" s="24" t="s">
        <v>53</v>
      </c>
      <c r="D80" s="24"/>
    </row>
    <row r="81" customFormat="false" ht="15.75" hidden="false" customHeight="true" outlineLevel="0" collapsed="false">
      <c r="A81" s="31" t="s">
        <v>121</v>
      </c>
      <c r="B81" s="4"/>
      <c r="C81" s="37"/>
      <c r="D81" s="38"/>
    </row>
    <row r="82" customFormat="false" ht="15.75" hidden="false" customHeight="true" outlineLevel="0" collapsed="false">
      <c r="A82" s="31" t="s">
        <v>122</v>
      </c>
      <c r="B82" s="4"/>
      <c r="C82" s="37"/>
      <c r="D82" s="38"/>
    </row>
    <row r="83" customFormat="false" ht="15.75" hidden="false" customHeight="true" outlineLevel="0" collapsed="false">
      <c r="A83" s="31" t="s">
        <v>123</v>
      </c>
      <c r="B83" s="4"/>
      <c r="C83" s="37"/>
      <c r="D83" s="38"/>
    </row>
    <row r="84" customFormat="false" ht="15.75" hidden="false" customHeight="true" outlineLevel="0" collapsed="false">
      <c r="A84" s="31" t="s">
        <v>124</v>
      </c>
      <c r="B84" s="4"/>
      <c r="C84" s="37"/>
      <c r="D84" s="38"/>
    </row>
    <row r="85" customFormat="false" ht="15.75" hidden="false" customHeight="true" outlineLevel="0" collapsed="false">
      <c r="A85" s="31" t="s">
        <v>125</v>
      </c>
      <c r="B85" s="4"/>
      <c r="C85" s="37"/>
      <c r="D85" s="38"/>
    </row>
    <row r="86" customFormat="false" ht="15.75" hidden="false" customHeight="true" outlineLevel="0" collapsed="false">
      <c r="A86" s="31" t="s">
        <v>126</v>
      </c>
      <c r="B86" s="4"/>
      <c r="C86" s="37"/>
      <c r="D86" s="38"/>
    </row>
    <row r="87" customFormat="false" ht="1.5" hidden="false" customHeight="true" outlineLevel="0" collapsed="false">
      <c r="A87" s="18"/>
      <c r="B87" s="18"/>
      <c r="C87" s="18"/>
      <c r="D87" s="18"/>
    </row>
    <row r="88" customFormat="false" ht="15.75" hidden="false" customHeight="true" outlineLevel="0" collapsed="false">
      <c r="A88" s="17" t="s">
        <v>127</v>
      </c>
      <c r="B88" s="18"/>
      <c r="C88" s="18"/>
      <c r="D88" s="18"/>
    </row>
    <row r="89" customFormat="false" ht="15.75" hidden="false" customHeight="true" outlineLevel="0" collapsed="false">
      <c r="A89" s="24" t="s">
        <v>128</v>
      </c>
      <c r="B89" s="24" t="s">
        <v>8</v>
      </c>
      <c r="C89" s="24" t="s">
        <v>129</v>
      </c>
      <c r="D89" s="24" t="s">
        <v>130</v>
      </c>
    </row>
    <row r="90" customFormat="false" ht="15.75" hidden="false" customHeight="true" outlineLevel="0" collapsed="false">
      <c r="A90" s="31" t="s">
        <v>131</v>
      </c>
      <c r="B90" s="39" t="n">
        <v>-0.3</v>
      </c>
      <c r="C90" s="4" t="s">
        <v>153</v>
      </c>
      <c r="D90" s="8" t="n">
        <f aca="false">IF(C90="Sí",$D$77*B90,"")</f>
        <v>-21.6</v>
      </c>
    </row>
    <row r="91" customFormat="false" ht="15.75" hidden="false" customHeight="true" outlineLevel="0" collapsed="false">
      <c r="A91" s="31" t="s">
        <v>132</v>
      </c>
      <c r="B91" s="39" t="n">
        <v>-0.2</v>
      </c>
      <c r="C91" s="4"/>
      <c r="D91" s="8" t="str">
        <f aca="false">IF(C91="Sí",$D$77*B91,"")</f>
        <v/>
      </c>
    </row>
    <row r="92" customFormat="false" ht="15.75" hidden="false" customHeight="true" outlineLevel="0" collapsed="false">
      <c r="A92" s="31" t="s">
        <v>133</v>
      </c>
      <c r="B92" s="39" t="n">
        <v>-1</v>
      </c>
      <c r="C92" s="4"/>
      <c r="D92" s="8" t="str">
        <f aca="false">IF(C92="Sí",$D$77*B92,"")</f>
        <v/>
      </c>
    </row>
    <row r="93" customFormat="false" ht="15.75" hidden="false" customHeight="true" outlineLevel="0" collapsed="false">
      <c r="A93" s="31" t="s">
        <v>134</v>
      </c>
      <c r="B93" s="39" t="n">
        <v>-0.2</v>
      </c>
      <c r="C93" s="4"/>
      <c r="D93" s="8" t="str">
        <f aca="false">IF(C93="Sí",$D$77*B93,"")</f>
        <v/>
      </c>
    </row>
    <row r="94" customFormat="false" ht="15.75" hidden="false" customHeight="true" outlineLevel="0" collapsed="false">
      <c r="A94" s="31" t="s">
        <v>135</v>
      </c>
      <c r="B94" s="39" t="n">
        <v>-1</v>
      </c>
      <c r="C94" s="4"/>
      <c r="D94" s="8" t="str">
        <f aca="false">IF(C94="Sí",$D$77*B94,"")</f>
        <v/>
      </c>
    </row>
    <row r="95" customFormat="false" ht="15.75" hidden="false" customHeight="true" outlineLevel="0" collapsed="false">
      <c r="A95" s="31" t="s">
        <v>136</v>
      </c>
      <c r="B95" s="39" t="n">
        <v>-0.75</v>
      </c>
      <c r="C95" s="4"/>
      <c r="D95" s="8" t="str">
        <f aca="false">IF(C95="Sí",$D$77*B95,"")</f>
        <v/>
      </c>
    </row>
    <row r="96" customFormat="false" ht="15.75" hidden="false" customHeight="true" outlineLevel="0" collapsed="false">
      <c r="A96" s="31" t="s">
        <v>137</v>
      </c>
      <c r="B96" s="39" t="n">
        <v>-0.75</v>
      </c>
      <c r="C96" s="4"/>
      <c r="D96" s="8" t="str">
        <f aca="false">IF(C96="Sí",$D$77*B96,"")</f>
        <v/>
      </c>
    </row>
    <row r="97" customFormat="false" ht="15.75" hidden="false" customHeight="true" outlineLevel="0" collapsed="false">
      <c r="A97" s="31" t="s">
        <v>138</v>
      </c>
      <c r="B97" s="39" t="n">
        <v>-1</v>
      </c>
      <c r="C97" s="4"/>
      <c r="D97" s="8" t="str">
        <f aca="false">IF(C97="Sí",$D$77*B97,"")</f>
        <v/>
      </c>
    </row>
    <row r="98" customFormat="false" ht="15.75" hidden="false" customHeight="true" outlineLevel="0" collapsed="false">
      <c r="A98" s="31" t="s">
        <v>139</v>
      </c>
      <c r="B98" s="39" t="n">
        <v>-0.5</v>
      </c>
      <c r="C98" s="4"/>
      <c r="D98" s="8" t="str">
        <f aca="false">IF(C98="Sí",$D$77*B98,"")</f>
        <v/>
      </c>
    </row>
    <row r="99" customFormat="false" ht="15.75" hidden="false" customHeight="true" outlineLevel="0" collapsed="false">
      <c r="A99" s="31" t="s">
        <v>140</v>
      </c>
      <c r="B99" s="39" t="n">
        <v>-1</v>
      </c>
      <c r="C99" s="4"/>
      <c r="D99" s="8" t="str">
        <f aca="false">IF(C99="Sí",$D$77*B99,"")</f>
        <v/>
      </c>
    </row>
    <row r="100" customFormat="false" ht="15.75" hidden="false" customHeight="true" outlineLevel="0" collapsed="false">
      <c r="A100" s="31" t="s">
        <v>141</v>
      </c>
      <c r="B100" s="39" t="n">
        <v>-1</v>
      </c>
      <c r="C100" s="4"/>
      <c r="D100" s="8" t="str">
        <f aca="false">IF(C100="Sí",$D$77*B100,"")</f>
        <v/>
      </c>
    </row>
    <row r="101" customFormat="false" ht="15.75" hidden="false" customHeight="true" outlineLevel="0" collapsed="false">
      <c r="A101" s="31" t="s">
        <v>142</v>
      </c>
      <c r="B101" s="39" t="n">
        <v>-0.25</v>
      </c>
      <c r="C101" s="4"/>
      <c r="D101" s="8" t="str">
        <f aca="false">IF(C101="Sí",$D$77*B101,"")</f>
        <v/>
      </c>
    </row>
    <row r="102" customFormat="false" ht="15.75" hidden="false" customHeight="true" outlineLevel="0" collapsed="false">
      <c r="A102" s="31" t="s">
        <v>143</v>
      </c>
      <c r="B102" s="39" t="n">
        <v>-1</v>
      </c>
      <c r="C102" s="4"/>
      <c r="D102" s="8" t="str">
        <f aca="false">IF(C102="Sí",$D$77*B102,"")</f>
        <v/>
      </c>
    </row>
    <row r="103" customFormat="false" ht="15.75" hidden="false" customHeight="true" outlineLevel="0" collapsed="false">
      <c r="A103" s="31" t="s">
        <v>144</v>
      </c>
      <c r="B103" s="39" t="n">
        <v>-1</v>
      </c>
      <c r="C103" s="4"/>
      <c r="D103" s="8" t="str">
        <f aca="false">IF(C103="Sí",$D$77*B103,"")</f>
        <v/>
      </c>
    </row>
    <row r="104" customFormat="false" ht="15.75" hidden="false" customHeight="true" outlineLevel="0" collapsed="false">
      <c r="A104" s="31" t="s">
        <v>145</v>
      </c>
      <c r="B104" s="39" t="n">
        <v>-1</v>
      </c>
      <c r="C104" s="4"/>
      <c r="D104" s="8" t="str">
        <f aca="false">IF(C104="Sí",$D$77*B104,"")</f>
        <v/>
      </c>
    </row>
    <row r="105" customFormat="false" ht="15.75" hidden="false" customHeight="true" outlineLevel="0" collapsed="false">
      <c r="A105" s="31" t="s">
        <v>146</v>
      </c>
      <c r="B105" s="39" t="n">
        <v>-1</v>
      </c>
      <c r="C105" s="4"/>
      <c r="D105" s="8" t="str">
        <f aca="false">IF(C105="Sí",$D$77*B105,"")</f>
        <v/>
      </c>
    </row>
    <row r="106" customFormat="false" ht="15.75" hidden="false" customHeight="true" outlineLevel="0" collapsed="false">
      <c r="A106" s="34" t="s">
        <v>147</v>
      </c>
      <c r="B106" s="36"/>
      <c r="C106" s="36"/>
      <c r="D106" s="16" t="n">
        <f aca="false">IF(SUM(D90:D105)=0,"",SUM(D90:D105))</f>
        <v>-21.6</v>
      </c>
    </row>
    <row r="107" customFormat="false" ht="1.5" hidden="false" customHeight="true" outlineLevel="0" collapsed="false">
      <c r="A107" s="18"/>
      <c r="B107" s="18"/>
      <c r="C107" s="18"/>
      <c r="D107" s="18"/>
    </row>
    <row r="108" customFormat="false" ht="21.75" hidden="false" customHeight="true" outlineLevel="0" collapsed="false">
      <c r="A108" s="40" t="s">
        <v>148</v>
      </c>
      <c r="B108" s="41"/>
      <c r="C108" s="41"/>
      <c r="D108" s="42" t="n">
        <f aca="false">IF(MAX(0,ROUND($D$77+$D$106,2))=0,"",MAX(0,ROUND($D$77+$D$106,2)))</f>
        <v>50.4</v>
      </c>
    </row>
    <row r="109" customFormat="false" ht="1.5" hidden="false" customHeight="true" outlineLevel="0" collapsed="false">
      <c r="A109" s="18"/>
      <c r="B109" s="18"/>
      <c r="C109" s="18"/>
      <c r="D109" s="18"/>
    </row>
    <row r="110" customFormat="false" ht="15.75" hidden="false" customHeight="true" outlineLevel="0" collapsed="false">
      <c r="A110" s="43" t="s">
        <v>149</v>
      </c>
      <c r="B110" s="18"/>
      <c r="C110" s="18"/>
      <c r="D110" s="18"/>
    </row>
    <row r="111" customFormat="false" ht="18" hidden="false" customHeight="true" outlineLevel="0" collapsed="false">
      <c r="A111" s="37"/>
      <c r="B111" s="37"/>
      <c r="C111" s="37"/>
      <c r="D111" s="37"/>
    </row>
    <row r="112" customFormat="false" ht="18" hidden="false" customHeight="true" outlineLevel="0" collapsed="false">
      <c r="A112" s="37"/>
      <c r="B112" s="37"/>
      <c r="C112" s="37"/>
      <c r="D112" s="37"/>
    </row>
    <row r="113" customFormat="false" ht="3" hidden="false" customHeight="true" outlineLevel="0" collapsed="false">
      <c r="A113" s="18"/>
      <c r="B113" s="18"/>
      <c r="C113" s="18"/>
      <c r="D113" s="18"/>
    </row>
    <row r="114" customFormat="false" ht="12" hidden="false" customHeight="true" outlineLevel="0" collapsed="false">
      <c r="A114" s="18"/>
      <c r="B114" s="18"/>
      <c r="C114" s="18"/>
      <c r="D114" s="18"/>
    </row>
    <row r="115" customFormat="false" ht="8.25" hidden="false" customHeight="true" outlineLevel="0" collapsed="false">
      <c r="A115" s="44" t="s">
        <v>150</v>
      </c>
      <c r="B115" s="18"/>
      <c r="C115" s="44" t="s">
        <v>150</v>
      </c>
      <c r="D115" s="18"/>
    </row>
    <row r="116" customFormat="false" ht="13.5" hidden="false" customHeight="true" outlineLevel="0" collapsed="false">
      <c r="A116" s="44" t="s">
        <v>151</v>
      </c>
      <c r="B116" s="18"/>
      <c r="C116" s="44" t="s">
        <v>152</v>
      </c>
      <c r="D116" s="18"/>
    </row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</sheetData>
  <mergeCells count="9">
    <mergeCell ref="A8:D8"/>
    <mergeCell ref="A10:B10"/>
    <mergeCell ref="C10:D10"/>
    <mergeCell ref="A11:B11"/>
    <mergeCell ref="C11:D11"/>
    <mergeCell ref="A12:B12"/>
    <mergeCell ref="C12:D12"/>
    <mergeCell ref="A111:D111"/>
    <mergeCell ref="A112:D112"/>
  </mergeCells>
  <conditionalFormatting sqref="D15:D76">
    <cfRule type="cellIs" priority="2" operator="greaterThan" aboveAverage="0" equalAverage="0" bottom="0" percent="0" rank="0" text="" dxfId="10">
      <formula>B15</formula>
    </cfRule>
  </conditionalFormatting>
  <dataValidations count="1">
    <dataValidation allowBlank="true" errorStyle="stop" operator="equal" showDropDown="false" showErrorMessage="false" showInputMessage="false" sqref="B81:B86 C90:C105" type="list">
      <formula1>"Sí,No"</formula1>
      <formula2>0</formula2>
    </dataValidation>
  </dataValidations>
  <printOptions headings="false" gridLines="false" gridLinesSet="true" horizontalCentered="true" verticalCentered="false"/>
  <pageMargins left="0.39375" right="0.39375" top="0.196527777777778" bottom="0.196527777777778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86"/>
  <sheetViews>
    <sheetView showFormulas="false" showGridLines="false" showRowColHeaders="true" showZeros="true" rightToLeft="false" tabSelected="false" showOutlineSymbols="true" defaultGridColor="true" view="normal" topLeftCell="A70" colorId="64" zoomScale="100" zoomScaleNormal="100" zoomScalePageLayoutView="100" workbookViewId="0">
      <selection pane="topLeft" activeCell="D67" activeCellId="0" sqref="D67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87.43"/>
    <col collapsed="false" customWidth="true" hidden="false" outlineLevel="0" max="2" min="2" style="1" width="11"/>
    <col collapsed="false" customWidth="true" hidden="false" outlineLevel="0" max="3" min="3" style="1" width="34"/>
    <col collapsed="false" customWidth="true" hidden="false" outlineLevel="0" max="4" min="4" style="1" width="11"/>
    <col collapsed="false" customWidth="true" hidden="false" outlineLevel="0" max="26" min="5" style="1" width="8.71"/>
  </cols>
  <sheetData>
    <row r="1" customFormat="false" ht="13.8" hidden="false" customHeight="false" outlineLevel="0" collapsed="false">
      <c r="A1" s="17" t="s">
        <v>41</v>
      </c>
      <c r="B1" s="18"/>
      <c r="C1" s="18"/>
      <c r="D1" s="18"/>
    </row>
    <row r="2" customFormat="false" ht="13.8" hidden="false" customHeight="false" outlineLevel="0" collapsed="false">
      <c r="A2" s="17" t="s">
        <v>42</v>
      </c>
      <c r="B2" s="18"/>
      <c r="C2" s="18"/>
      <c r="D2" s="18"/>
    </row>
    <row r="3" customFormat="false" ht="13.8" hidden="false" customHeight="false" outlineLevel="0" collapsed="false">
      <c r="A3" s="17" t="s">
        <v>43</v>
      </c>
      <c r="B3" s="18"/>
      <c r="C3" s="18"/>
      <c r="D3" s="18"/>
    </row>
    <row r="4" customFormat="false" ht="13.8" hidden="false" customHeight="false" outlineLevel="0" collapsed="false">
      <c r="A4" s="17" t="s">
        <v>44</v>
      </c>
      <c r="B4" s="18"/>
      <c r="C4" s="18"/>
      <c r="D4" s="18"/>
    </row>
    <row r="5" customFormat="false" ht="13.8" hidden="false" customHeight="false" outlineLevel="0" collapsed="false">
      <c r="A5" s="17" t="s">
        <v>45</v>
      </c>
      <c r="B5" s="18"/>
      <c r="C5" s="18"/>
      <c r="D5" s="18"/>
    </row>
    <row r="6" customFormat="false" ht="13.8" hidden="false" customHeight="false" outlineLevel="0" collapsed="false">
      <c r="A6" s="17" t="s">
        <v>46</v>
      </c>
      <c r="B6" s="18"/>
      <c r="C6" s="18"/>
      <c r="D6" s="18"/>
    </row>
    <row r="7" customFormat="false" ht="13.8" hidden="false" customHeight="false" outlineLevel="0" collapsed="false">
      <c r="A7" s="17"/>
      <c r="B7" s="18"/>
      <c r="C7" s="18"/>
      <c r="D7" s="18"/>
    </row>
    <row r="8" customFormat="false" ht="13.8" hidden="false" customHeight="false" outlineLevel="0" collapsed="false">
      <c r="A8" s="19" t="s">
        <v>47</v>
      </c>
      <c r="B8" s="19"/>
      <c r="C8" s="19"/>
      <c r="D8" s="19"/>
    </row>
    <row r="9" customFormat="false" ht="13.8" hidden="false" customHeight="false" outlineLevel="0" collapsed="false">
      <c r="A9" s="20"/>
      <c r="B9" s="20"/>
      <c r="C9" s="20"/>
      <c r="D9" s="20"/>
    </row>
    <row r="10" customFormat="false" ht="13.8" hidden="false" customHeight="false" outlineLevel="0" collapsed="false">
      <c r="A10" s="21" t="s">
        <v>48</v>
      </c>
      <c r="B10" s="21"/>
      <c r="C10" s="22"/>
      <c r="D10" s="22"/>
    </row>
    <row r="11" customFormat="false" ht="13.8" hidden="false" customHeight="false" outlineLevel="0" collapsed="false">
      <c r="A11" s="21" t="s">
        <v>49</v>
      </c>
      <c r="B11" s="21"/>
      <c r="C11" s="23" t="str">
        <f aca="false">VLOOKUP(C12, Consolidado!$B$3:$C$26, 2, 0)</f>
        <v>HANS CRISTIAN MEYER DIAZ</v>
      </c>
      <c r="D11" s="23"/>
    </row>
    <row r="12" customFormat="false" ht="13.8" hidden="false" customHeight="false" outlineLevel="0" collapsed="false">
      <c r="A12" s="21" t="s">
        <v>50</v>
      </c>
      <c r="B12" s="21"/>
      <c r="C12" s="45" t="n">
        <v>202308203</v>
      </c>
      <c r="D12" s="23"/>
    </row>
    <row r="13" customFormat="false" ht="13.8" hidden="false" customHeight="false" outlineLevel="0" collapsed="false">
      <c r="A13" s="18"/>
      <c r="B13" s="18"/>
      <c r="C13" s="18"/>
      <c r="D13" s="18"/>
    </row>
    <row r="14" customFormat="false" ht="19.5" hidden="false" customHeight="true" outlineLevel="0" collapsed="false">
      <c r="A14" s="24" t="s">
        <v>51</v>
      </c>
      <c r="B14" s="24" t="s">
        <v>52</v>
      </c>
      <c r="C14" s="24" t="s">
        <v>53</v>
      </c>
      <c r="D14" s="24" t="s">
        <v>54</v>
      </c>
    </row>
    <row r="15" customFormat="false" ht="19.5" hidden="false" customHeight="true" outlineLevel="0" collapsed="false">
      <c r="A15" s="25" t="s">
        <v>55</v>
      </c>
      <c r="B15" s="26" t="n">
        <f aca="false">B16+B21+B25</f>
        <v>20</v>
      </c>
      <c r="C15" s="25"/>
      <c r="D15" s="27" t="n">
        <f aca="false">IF(D16+D21+D25=0,"",D16+D21+D25)</f>
        <v>16</v>
      </c>
    </row>
    <row r="16" customFormat="false" ht="18" hidden="false" customHeight="true" outlineLevel="0" collapsed="false">
      <c r="A16" s="28" t="s">
        <v>56</v>
      </c>
      <c r="B16" s="29" t="n">
        <f aca="false">SUM(B17:B20)</f>
        <v>8</v>
      </c>
      <c r="C16" s="28"/>
      <c r="D16" s="30" t="n">
        <f aca="false">SUM(D17:D20)</f>
        <v>6</v>
      </c>
    </row>
    <row r="17" customFormat="false" ht="15" hidden="false" customHeight="true" outlineLevel="0" collapsed="false">
      <c r="A17" s="31" t="s">
        <v>57</v>
      </c>
      <c r="B17" s="32" t="n">
        <v>2</v>
      </c>
      <c r="C17" s="31"/>
      <c r="D17" s="33" t="n">
        <v>2</v>
      </c>
    </row>
    <row r="18" customFormat="false" ht="15" hidden="false" customHeight="true" outlineLevel="0" collapsed="false">
      <c r="A18" s="31" t="s">
        <v>58</v>
      </c>
      <c r="B18" s="32" t="n">
        <v>2</v>
      </c>
      <c r="C18" s="31"/>
      <c r="D18" s="33" t="n">
        <v>2</v>
      </c>
    </row>
    <row r="19" customFormat="false" ht="15" hidden="false" customHeight="true" outlineLevel="0" collapsed="false">
      <c r="A19" s="31" t="s">
        <v>59</v>
      </c>
      <c r="B19" s="32" t="n">
        <v>2</v>
      </c>
      <c r="C19" s="31"/>
      <c r="D19" s="33" t="n">
        <v>0</v>
      </c>
    </row>
    <row r="20" customFormat="false" ht="15" hidden="false" customHeight="true" outlineLevel="0" collapsed="false">
      <c r="A20" s="31" t="s">
        <v>60</v>
      </c>
      <c r="B20" s="32" t="n">
        <v>2</v>
      </c>
      <c r="C20" s="31"/>
      <c r="D20" s="33" t="n">
        <v>2</v>
      </c>
    </row>
    <row r="21" customFormat="false" ht="18" hidden="false" customHeight="true" outlineLevel="0" collapsed="false">
      <c r="A21" s="28" t="s">
        <v>61</v>
      </c>
      <c r="B21" s="29" t="n">
        <f aca="false">SUM(B22:B24)</f>
        <v>6</v>
      </c>
      <c r="C21" s="28"/>
      <c r="D21" s="30" t="n">
        <f aca="false">SUM(D22:D24)</f>
        <v>6</v>
      </c>
    </row>
    <row r="22" customFormat="false" ht="15" hidden="false" customHeight="true" outlineLevel="0" collapsed="false">
      <c r="A22" s="31" t="s">
        <v>62</v>
      </c>
      <c r="B22" s="32" t="n">
        <v>2</v>
      </c>
      <c r="C22" s="31"/>
      <c r="D22" s="33" t="n">
        <v>2</v>
      </c>
    </row>
    <row r="23" customFormat="false" ht="15" hidden="false" customHeight="true" outlineLevel="0" collapsed="false">
      <c r="A23" s="31" t="s">
        <v>63</v>
      </c>
      <c r="B23" s="32" t="n">
        <v>2</v>
      </c>
      <c r="C23" s="31"/>
      <c r="D23" s="33" t="n">
        <v>2</v>
      </c>
    </row>
    <row r="24" customFormat="false" ht="15" hidden="false" customHeight="true" outlineLevel="0" collapsed="false">
      <c r="A24" s="31" t="s">
        <v>64</v>
      </c>
      <c r="B24" s="32" t="n">
        <v>2</v>
      </c>
      <c r="C24" s="31"/>
      <c r="D24" s="33" t="n">
        <v>2</v>
      </c>
    </row>
    <row r="25" customFormat="false" ht="18" hidden="false" customHeight="true" outlineLevel="0" collapsed="false">
      <c r="A25" s="28" t="s">
        <v>65</v>
      </c>
      <c r="B25" s="29" t="n">
        <f aca="false">SUM(B26:B28)</f>
        <v>6</v>
      </c>
      <c r="C25" s="28"/>
      <c r="D25" s="30" t="n">
        <f aca="false">SUM(D26:D28)</f>
        <v>4</v>
      </c>
    </row>
    <row r="26" customFormat="false" ht="16.5" hidden="false" customHeight="true" outlineLevel="0" collapsed="false">
      <c r="A26" s="31" t="s">
        <v>66</v>
      </c>
      <c r="B26" s="32" t="n">
        <v>2</v>
      </c>
      <c r="C26" s="31"/>
      <c r="D26" s="33" t="n">
        <v>2</v>
      </c>
    </row>
    <row r="27" customFormat="false" ht="15" hidden="false" customHeight="true" outlineLevel="0" collapsed="false">
      <c r="A27" s="31" t="s">
        <v>67</v>
      </c>
      <c r="B27" s="32" t="n">
        <v>2</v>
      </c>
      <c r="C27" s="31"/>
      <c r="D27" s="33" t="n">
        <v>2</v>
      </c>
    </row>
    <row r="28" customFormat="false" ht="15" hidden="false" customHeight="true" outlineLevel="0" collapsed="false">
      <c r="A28" s="31" t="s">
        <v>68</v>
      </c>
      <c r="B28" s="32" t="n">
        <v>2</v>
      </c>
      <c r="C28" s="31"/>
      <c r="D28" s="33" t="n">
        <v>0</v>
      </c>
    </row>
    <row r="29" customFormat="false" ht="19.5" hidden="false" customHeight="true" outlineLevel="0" collapsed="false">
      <c r="A29" s="25" t="s">
        <v>69</v>
      </c>
      <c r="B29" s="26" t="n">
        <f aca="false">B30+B34+B40+B44+B49+B53+B58+B63</f>
        <v>55</v>
      </c>
      <c r="C29" s="25"/>
      <c r="D29" s="27" t="n">
        <f aca="false">IF(D30+D34+D40+D44+D49+D53+D58+D63=0,"",D30+D34+D40+D44+D49+D53+D58+D63)</f>
        <v>36.5</v>
      </c>
    </row>
    <row r="30" customFormat="false" ht="18" hidden="false" customHeight="true" outlineLevel="0" collapsed="false">
      <c r="A30" s="28" t="s">
        <v>70</v>
      </c>
      <c r="B30" s="29" t="n">
        <f aca="false">SUM(B31:B33)</f>
        <v>5</v>
      </c>
      <c r="C30" s="28"/>
      <c r="D30" s="30" t="n">
        <f aca="false">SUM(D31:D33)</f>
        <v>1.5</v>
      </c>
    </row>
    <row r="31" customFormat="false" ht="15" hidden="false" customHeight="true" outlineLevel="0" collapsed="false">
      <c r="A31" s="31" t="s">
        <v>71</v>
      </c>
      <c r="B31" s="32" t="n">
        <v>2</v>
      </c>
      <c r="C31" s="31"/>
      <c r="D31" s="33" t="n">
        <v>1</v>
      </c>
    </row>
    <row r="32" customFormat="false" ht="15" hidden="false" customHeight="true" outlineLevel="0" collapsed="false">
      <c r="A32" s="31" t="s">
        <v>72</v>
      </c>
      <c r="B32" s="32" t="n">
        <v>2</v>
      </c>
      <c r="C32" s="31"/>
      <c r="D32" s="33" t="n">
        <v>0</v>
      </c>
    </row>
    <row r="33" customFormat="false" ht="15" hidden="false" customHeight="true" outlineLevel="0" collapsed="false">
      <c r="A33" s="31" t="s">
        <v>73</v>
      </c>
      <c r="B33" s="32" t="n">
        <v>1</v>
      </c>
      <c r="C33" s="31"/>
      <c r="D33" s="33" t="n">
        <v>0.5</v>
      </c>
    </row>
    <row r="34" customFormat="false" ht="18" hidden="false" customHeight="true" outlineLevel="0" collapsed="false">
      <c r="A34" s="28" t="s">
        <v>74</v>
      </c>
      <c r="B34" s="29" t="n">
        <f aca="false">SUM(B35:B39)</f>
        <v>10</v>
      </c>
      <c r="C34" s="28"/>
      <c r="D34" s="30" t="n">
        <f aca="false">SUM(D35:D39)</f>
        <v>4</v>
      </c>
    </row>
    <row r="35" customFormat="false" ht="15" hidden="false" customHeight="true" outlineLevel="0" collapsed="false">
      <c r="A35" s="31" t="s">
        <v>75</v>
      </c>
      <c r="B35" s="32" t="n">
        <v>3</v>
      </c>
      <c r="C35" s="31"/>
      <c r="D35" s="33" t="n">
        <v>2</v>
      </c>
    </row>
    <row r="36" customFormat="false" ht="15" hidden="false" customHeight="true" outlineLevel="0" collapsed="false">
      <c r="A36" s="31" t="s">
        <v>76</v>
      </c>
      <c r="B36" s="32" t="n">
        <v>2</v>
      </c>
      <c r="C36" s="31"/>
      <c r="D36" s="33" t="n">
        <v>0</v>
      </c>
    </row>
    <row r="37" customFormat="false" ht="15" hidden="false" customHeight="true" outlineLevel="0" collapsed="false">
      <c r="A37" s="31" t="s">
        <v>77</v>
      </c>
      <c r="B37" s="32" t="n">
        <v>2</v>
      </c>
      <c r="C37" s="31"/>
      <c r="D37" s="33" t="n">
        <v>2</v>
      </c>
    </row>
    <row r="38" customFormat="false" ht="15" hidden="false" customHeight="true" outlineLevel="0" collapsed="false">
      <c r="A38" s="31" t="s">
        <v>78</v>
      </c>
      <c r="B38" s="32" t="n">
        <v>1</v>
      </c>
      <c r="C38" s="31"/>
      <c r="D38" s="33" t="n">
        <v>0</v>
      </c>
    </row>
    <row r="39" customFormat="false" ht="15" hidden="false" customHeight="true" outlineLevel="0" collapsed="false">
      <c r="A39" s="31" t="s">
        <v>79</v>
      </c>
      <c r="B39" s="32" t="n">
        <v>2</v>
      </c>
      <c r="C39" s="31"/>
      <c r="D39" s="33" t="n">
        <v>0</v>
      </c>
    </row>
    <row r="40" customFormat="false" ht="18" hidden="false" customHeight="true" outlineLevel="0" collapsed="false">
      <c r="A40" s="28" t="s">
        <v>80</v>
      </c>
      <c r="B40" s="29" t="n">
        <f aca="false">SUM(B41:B43)</f>
        <v>6</v>
      </c>
      <c r="C40" s="28"/>
      <c r="D40" s="30" t="n">
        <f aca="false">SUM(D41:D43)</f>
        <v>5</v>
      </c>
    </row>
    <row r="41" customFormat="false" ht="15" hidden="false" customHeight="true" outlineLevel="0" collapsed="false">
      <c r="A41" s="31" t="s">
        <v>81</v>
      </c>
      <c r="B41" s="32" t="n">
        <v>2</v>
      </c>
      <c r="C41" s="31"/>
      <c r="D41" s="33" t="n">
        <v>2</v>
      </c>
    </row>
    <row r="42" customFormat="false" ht="15" hidden="false" customHeight="true" outlineLevel="0" collapsed="false">
      <c r="A42" s="31" t="s">
        <v>82</v>
      </c>
      <c r="B42" s="32" t="n">
        <v>2</v>
      </c>
      <c r="C42" s="31"/>
      <c r="D42" s="33" t="n">
        <v>2</v>
      </c>
    </row>
    <row r="43" customFormat="false" ht="15" hidden="false" customHeight="true" outlineLevel="0" collapsed="false">
      <c r="A43" s="31" t="s">
        <v>83</v>
      </c>
      <c r="B43" s="32" t="n">
        <v>2</v>
      </c>
      <c r="C43" s="31"/>
      <c r="D43" s="33" t="n">
        <v>1</v>
      </c>
    </row>
    <row r="44" customFormat="false" ht="18" hidden="false" customHeight="true" outlineLevel="0" collapsed="false">
      <c r="A44" s="28" t="s">
        <v>84</v>
      </c>
      <c r="B44" s="29" t="n">
        <f aca="false">SUM(B45:B48)</f>
        <v>8</v>
      </c>
      <c r="C44" s="28"/>
      <c r="D44" s="30" t="n">
        <f aca="false">SUM(D45:D48)</f>
        <v>8</v>
      </c>
    </row>
    <row r="45" customFormat="false" ht="15" hidden="false" customHeight="true" outlineLevel="0" collapsed="false">
      <c r="A45" s="31" t="s">
        <v>85</v>
      </c>
      <c r="B45" s="32" t="n">
        <v>2</v>
      </c>
      <c r="C45" s="31"/>
      <c r="D45" s="33" t="n">
        <v>2</v>
      </c>
    </row>
    <row r="46" customFormat="false" ht="15" hidden="false" customHeight="true" outlineLevel="0" collapsed="false">
      <c r="A46" s="31" t="s">
        <v>86</v>
      </c>
      <c r="B46" s="32" t="n">
        <v>3</v>
      </c>
      <c r="C46" s="31"/>
      <c r="D46" s="33" t="n">
        <v>3</v>
      </c>
    </row>
    <row r="47" customFormat="false" ht="15" hidden="false" customHeight="true" outlineLevel="0" collapsed="false">
      <c r="A47" s="31" t="s">
        <v>87</v>
      </c>
      <c r="B47" s="32" t="n">
        <v>2</v>
      </c>
      <c r="C47" s="31"/>
      <c r="D47" s="33" t="n">
        <v>2</v>
      </c>
    </row>
    <row r="48" customFormat="false" ht="15" hidden="false" customHeight="true" outlineLevel="0" collapsed="false">
      <c r="A48" s="31" t="s">
        <v>88</v>
      </c>
      <c r="B48" s="32" t="n">
        <v>1</v>
      </c>
      <c r="C48" s="31"/>
      <c r="D48" s="33" t="n">
        <v>1</v>
      </c>
    </row>
    <row r="49" customFormat="false" ht="18" hidden="false" customHeight="true" outlineLevel="0" collapsed="false">
      <c r="A49" s="28" t="s">
        <v>89</v>
      </c>
      <c r="B49" s="29" t="n">
        <f aca="false">SUM(B50:B52)</f>
        <v>6</v>
      </c>
      <c r="C49" s="28"/>
      <c r="D49" s="30" t="n">
        <f aca="false">SUM(D50:D52)</f>
        <v>4</v>
      </c>
    </row>
    <row r="50" customFormat="false" ht="15" hidden="false" customHeight="true" outlineLevel="0" collapsed="false">
      <c r="A50" s="31" t="s">
        <v>90</v>
      </c>
      <c r="B50" s="32" t="n">
        <v>2</v>
      </c>
      <c r="C50" s="31"/>
      <c r="D50" s="33" t="n">
        <v>1</v>
      </c>
    </row>
    <row r="51" customFormat="false" ht="15" hidden="false" customHeight="true" outlineLevel="0" collapsed="false">
      <c r="A51" s="31" t="s">
        <v>91</v>
      </c>
      <c r="B51" s="32" t="n">
        <v>2</v>
      </c>
      <c r="C51" s="31"/>
      <c r="D51" s="33" t="n">
        <v>1</v>
      </c>
    </row>
    <row r="52" customFormat="false" ht="15" hidden="false" customHeight="true" outlineLevel="0" collapsed="false">
      <c r="A52" s="31" t="s">
        <v>92</v>
      </c>
      <c r="B52" s="32" t="n">
        <v>2</v>
      </c>
      <c r="C52" s="31"/>
      <c r="D52" s="33" t="n">
        <v>2</v>
      </c>
    </row>
    <row r="53" customFormat="false" ht="18" hidden="false" customHeight="true" outlineLevel="0" collapsed="false">
      <c r="A53" s="28" t="s">
        <v>93</v>
      </c>
      <c r="B53" s="29" t="n">
        <f aca="false">SUM(B54:B57)</f>
        <v>8</v>
      </c>
      <c r="C53" s="28"/>
      <c r="D53" s="30" t="n">
        <f aca="false">SUM(D54:D57)</f>
        <v>8</v>
      </c>
    </row>
    <row r="54" customFormat="false" ht="15" hidden="false" customHeight="true" outlineLevel="0" collapsed="false">
      <c r="A54" s="31" t="s">
        <v>94</v>
      </c>
      <c r="B54" s="32" t="n">
        <v>2</v>
      </c>
      <c r="C54" s="31"/>
      <c r="D54" s="33" t="n">
        <v>2</v>
      </c>
    </row>
    <row r="55" customFormat="false" ht="15" hidden="false" customHeight="true" outlineLevel="0" collapsed="false">
      <c r="A55" s="31" t="s">
        <v>95</v>
      </c>
      <c r="B55" s="32" t="n">
        <v>3</v>
      </c>
      <c r="C55" s="31"/>
      <c r="D55" s="33" t="n">
        <v>3</v>
      </c>
    </row>
    <row r="56" customFormat="false" ht="15" hidden="false" customHeight="true" outlineLevel="0" collapsed="false">
      <c r="A56" s="31" t="s">
        <v>96</v>
      </c>
      <c r="B56" s="32" t="n">
        <v>2</v>
      </c>
      <c r="C56" s="31"/>
      <c r="D56" s="33" t="n">
        <v>2</v>
      </c>
    </row>
    <row r="57" customFormat="false" ht="15" hidden="false" customHeight="true" outlineLevel="0" collapsed="false">
      <c r="A57" s="31" t="s">
        <v>97</v>
      </c>
      <c r="B57" s="32" t="n">
        <v>1</v>
      </c>
      <c r="C57" s="31"/>
      <c r="D57" s="33" t="n">
        <v>1</v>
      </c>
    </row>
    <row r="58" customFormat="false" ht="18" hidden="false" customHeight="true" outlineLevel="0" collapsed="false">
      <c r="A58" s="28" t="s">
        <v>98</v>
      </c>
      <c r="B58" s="29" t="n">
        <f aca="false">SUM(B59:B62)</f>
        <v>6</v>
      </c>
      <c r="C58" s="28"/>
      <c r="D58" s="30" t="n">
        <f aca="false">SUM(D59:D62)</f>
        <v>6</v>
      </c>
    </row>
    <row r="59" customFormat="false" ht="15" hidden="false" customHeight="true" outlineLevel="0" collapsed="false">
      <c r="A59" s="31" t="s">
        <v>99</v>
      </c>
      <c r="B59" s="32" t="n">
        <v>2</v>
      </c>
      <c r="C59" s="31"/>
      <c r="D59" s="33" t="n">
        <v>2</v>
      </c>
    </row>
    <row r="60" customFormat="false" ht="15" hidden="false" customHeight="true" outlineLevel="0" collapsed="false">
      <c r="A60" s="31" t="s">
        <v>100</v>
      </c>
      <c r="B60" s="32" t="n">
        <v>2</v>
      </c>
      <c r="C60" s="31"/>
      <c r="D60" s="33" t="n">
        <v>2</v>
      </c>
    </row>
    <row r="61" customFormat="false" ht="15" hidden="false" customHeight="true" outlineLevel="0" collapsed="false">
      <c r="A61" s="31" t="s">
        <v>101</v>
      </c>
      <c r="B61" s="32" t="n">
        <v>1</v>
      </c>
      <c r="C61" s="31"/>
      <c r="D61" s="33" t="n">
        <v>1</v>
      </c>
    </row>
    <row r="62" customFormat="false" ht="15" hidden="false" customHeight="true" outlineLevel="0" collapsed="false">
      <c r="A62" s="31" t="s">
        <v>102</v>
      </c>
      <c r="B62" s="32" t="n">
        <v>1</v>
      </c>
      <c r="C62" s="31"/>
      <c r="D62" s="33" t="n">
        <v>1</v>
      </c>
    </row>
    <row r="63" customFormat="false" ht="15" hidden="false" customHeight="true" outlineLevel="0" collapsed="false">
      <c r="A63" s="28" t="s">
        <v>103</v>
      </c>
      <c r="B63" s="29" t="n">
        <f aca="false">SUM(B64:B65)</f>
        <v>6</v>
      </c>
      <c r="C63" s="28"/>
      <c r="D63" s="30" t="n">
        <f aca="false">SUM(D64:D65)</f>
        <v>0</v>
      </c>
    </row>
    <row r="64" customFormat="false" ht="15" hidden="false" customHeight="true" outlineLevel="0" collapsed="false">
      <c r="A64" s="31" t="s">
        <v>104</v>
      </c>
      <c r="B64" s="32" t="n">
        <v>3</v>
      </c>
      <c r="C64" s="31"/>
      <c r="D64" s="33" t="n">
        <v>0</v>
      </c>
    </row>
    <row r="65" customFormat="false" ht="15" hidden="false" customHeight="true" outlineLevel="0" collapsed="false">
      <c r="A65" s="31" t="s">
        <v>105</v>
      </c>
      <c r="B65" s="32" t="n">
        <v>3</v>
      </c>
      <c r="C65" s="31"/>
      <c r="D65" s="33" t="n">
        <v>0</v>
      </c>
    </row>
    <row r="66" customFormat="false" ht="19.5" hidden="false" customHeight="true" outlineLevel="0" collapsed="false">
      <c r="A66" s="25" t="s">
        <v>106</v>
      </c>
      <c r="B66" s="26" t="n">
        <f aca="false">B67+B73</f>
        <v>25</v>
      </c>
      <c r="C66" s="25"/>
      <c r="D66" s="27" t="n">
        <f aca="false">SUM(D67,D73)</f>
        <v>10</v>
      </c>
    </row>
    <row r="67" customFormat="false" ht="18" hidden="false" customHeight="true" outlineLevel="0" collapsed="false">
      <c r="A67" s="28" t="s">
        <v>107</v>
      </c>
      <c r="B67" s="29" t="n">
        <f aca="false">SUM(B68:B72)</f>
        <v>10</v>
      </c>
      <c r="C67" s="28"/>
      <c r="D67" s="30" t="n">
        <f aca="false">IF(SUM(D68:D72)=0,"",SUM(D68:D72))</f>
        <v>10</v>
      </c>
    </row>
    <row r="68" customFormat="false" ht="15" hidden="false" customHeight="true" outlineLevel="0" collapsed="false">
      <c r="A68" s="31" t="s">
        <v>108</v>
      </c>
      <c r="B68" s="32" t="n">
        <v>2</v>
      </c>
      <c r="C68" s="31"/>
      <c r="D68" s="33" t="n">
        <v>2</v>
      </c>
    </row>
    <row r="69" customFormat="false" ht="15" hidden="false" customHeight="true" outlineLevel="0" collapsed="false">
      <c r="A69" s="31" t="s">
        <v>109</v>
      </c>
      <c r="B69" s="32" t="n">
        <v>2</v>
      </c>
      <c r="C69" s="31"/>
      <c r="D69" s="33" t="n">
        <v>2</v>
      </c>
    </row>
    <row r="70" customFormat="false" ht="15" hidden="false" customHeight="true" outlineLevel="0" collapsed="false">
      <c r="A70" s="31" t="s">
        <v>110</v>
      </c>
      <c r="B70" s="32" t="n">
        <v>2</v>
      </c>
      <c r="C70" s="31"/>
      <c r="D70" s="33" t="n">
        <v>2</v>
      </c>
    </row>
    <row r="71" customFormat="false" ht="15" hidden="false" customHeight="true" outlineLevel="0" collapsed="false">
      <c r="A71" s="31" t="s">
        <v>111</v>
      </c>
      <c r="B71" s="32" t="n">
        <v>2</v>
      </c>
      <c r="C71" s="31"/>
      <c r="D71" s="33" t="n">
        <v>2</v>
      </c>
    </row>
    <row r="72" customFormat="false" ht="15" hidden="false" customHeight="true" outlineLevel="0" collapsed="false">
      <c r="A72" s="31" t="s">
        <v>112</v>
      </c>
      <c r="B72" s="32" t="n">
        <v>2</v>
      </c>
      <c r="C72" s="31"/>
      <c r="D72" s="33" t="n">
        <v>2</v>
      </c>
    </row>
    <row r="73" customFormat="false" ht="18" hidden="false" customHeight="true" outlineLevel="0" collapsed="false">
      <c r="A73" s="28" t="s">
        <v>113</v>
      </c>
      <c r="B73" s="29" t="n">
        <f aca="false">SUM(B74:B76)</f>
        <v>15</v>
      </c>
      <c r="C73" s="28"/>
      <c r="D73" s="30" t="str">
        <f aca="false">IF(SUM(D74:D76)=0,"",SUM(D74:D76))</f>
        <v/>
      </c>
    </row>
    <row r="74" customFormat="false" ht="15" hidden="false" customHeight="true" outlineLevel="0" collapsed="false">
      <c r="A74" s="31" t="s">
        <v>114</v>
      </c>
      <c r="B74" s="32" t="n">
        <v>5</v>
      </c>
      <c r="C74" s="31"/>
      <c r="D74" s="33" t="n">
        <v>0</v>
      </c>
    </row>
    <row r="75" customFormat="false" ht="15" hidden="false" customHeight="true" outlineLevel="0" collapsed="false">
      <c r="A75" s="31" t="s">
        <v>115</v>
      </c>
      <c r="B75" s="32" t="n">
        <v>5</v>
      </c>
      <c r="C75" s="31"/>
      <c r="D75" s="33" t="n">
        <v>0</v>
      </c>
    </row>
    <row r="76" customFormat="false" ht="15" hidden="false" customHeight="true" outlineLevel="0" collapsed="false">
      <c r="A76" s="31" t="s">
        <v>116</v>
      </c>
      <c r="B76" s="32" t="n">
        <v>5</v>
      </c>
      <c r="C76" s="31"/>
      <c r="D76" s="33" t="n">
        <v>0</v>
      </c>
    </row>
    <row r="77" customFormat="false" ht="19.5" hidden="false" customHeight="true" outlineLevel="0" collapsed="false">
      <c r="A77" s="34" t="s">
        <v>117</v>
      </c>
      <c r="B77" s="35" t="n">
        <f aca="false">B15+B29+B66</f>
        <v>100</v>
      </c>
      <c r="C77" s="36"/>
      <c r="D77" s="16" t="n">
        <f aca="false">IF(D15+D29+D66=0,"",D15+D29+D66)</f>
        <v>62.5</v>
      </c>
    </row>
    <row r="78" customFormat="false" ht="1.5" hidden="false" customHeight="true" outlineLevel="0" collapsed="false">
      <c r="A78" s="18"/>
      <c r="B78" s="18"/>
      <c r="C78" s="18"/>
      <c r="D78" s="18"/>
    </row>
    <row r="79" customFormat="false" ht="15.75" hidden="false" customHeight="true" outlineLevel="0" collapsed="false">
      <c r="A79" s="17" t="s">
        <v>118</v>
      </c>
      <c r="B79" s="18"/>
      <c r="C79" s="18"/>
      <c r="D79" s="18"/>
    </row>
    <row r="80" customFormat="false" ht="15.75" hidden="false" customHeight="true" outlineLevel="0" collapsed="false">
      <c r="A80" s="24" t="s">
        <v>119</v>
      </c>
      <c r="B80" s="24" t="s">
        <v>120</v>
      </c>
      <c r="C80" s="24" t="s">
        <v>53</v>
      </c>
      <c r="D80" s="24"/>
    </row>
    <row r="81" customFormat="false" ht="15.75" hidden="false" customHeight="true" outlineLevel="0" collapsed="false">
      <c r="A81" s="31" t="s">
        <v>121</v>
      </c>
      <c r="B81" s="4"/>
      <c r="C81" s="37"/>
      <c r="D81" s="38"/>
    </row>
    <row r="82" customFormat="false" ht="15.75" hidden="false" customHeight="true" outlineLevel="0" collapsed="false">
      <c r="A82" s="31" t="s">
        <v>122</v>
      </c>
      <c r="B82" s="4"/>
      <c r="C82" s="37"/>
      <c r="D82" s="38"/>
    </row>
    <row r="83" customFormat="false" ht="15.75" hidden="false" customHeight="true" outlineLevel="0" collapsed="false">
      <c r="A83" s="31" t="s">
        <v>123</v>
      </c>
      <c r="B83" s="4"/>
      <c r="C83" s="37"/>
      <c r="D83" s="38"/>
    </row>
    <row r="84" customFormat="false" ht="15.75" hidden="false" customHeight="true" outlineLevel="0" collapsed="false">
      <c r="A84" s="31" t="s">
        <v>124</v>
      </c>
      <c r="B84" s="4"/>
      <c r="C84" s="37"/>
      <c r="D84" s="38"/>
    </row>
    <row r="85" customFormat="false" ht="15.75" hidden="false" customHeight="true" outlineLevel="0" collapsed="false">
      <c r="A85" s="31" t="s">
        <v>125</v>
      </c>
      <c r="B85" s="4"/>
      <c r="C85" s="37"/>
      <c r="D85" s="38"/>
    </row>
    <row r="86" customFormat="false" ht="15.75" hidden="false" customHeight="true" outlineLevel="0" collapsed="false">
      <c r="A86" s="31" t="s">
        <v>126</v>
      </c>
      <c r="B86" s="4"/>
      <c r="C86" s="37"/>
      <c r="D86" s="38"/>
    </row>
    <row r="87" customFormat="false" ht="1.5" hidden="false" customHeight="true" outlineLevel="0" collapsed="false">
      <c r="A87" s="18"/>
      <c r="B87" s="18"/>
      <c r="C87" s="18"/>
      <c r="D87" s="18"/>
    </row>
    <row r="88" customFormat="false" ht="15.75" hidden="false" customHeight="true" outlineLevel="0" collapsed="false">
      <c r="A88" s="17" t="s">
        <v>127</v>
      </c>
      <c r="B88" s="18"/>
      <c r="C88" s="18"/>
      <c r="D88" s="18"/>
    </row>
    <row r="89" customFormat="false" ht="15.75" hidden="false" customHeight="true" outlineLevel="0" collapsed="false">
      <c r="A89" s="24" t="s">
        <v>128</v>
      </c>
      <c r="B89" s="24" t="s">
        <v>8</v>
      </c>
      <c r="C89" s="24" t="s">
        <v>129</v>
      </c>
      <c r="D89" s="24" t="s">
        <v>130</v>
      </c>
    </row>
    <row r="90" customFormat="false" ht="15.75" hidden="false" customHeight="true" outlineLevel="0" collapsed="false">
      <c r="A90" s="31" t="s">
        <v>131</v>
      </c>
      <c r="B90" s="39" t="n">
        <v>-0.3</v>
      </c>
      <c r="C90" s="4"/>
      <c r="D90" s="8" t="str">
        <f aca="false">IF(C90="Sí",$D$77*B90,"")</f>
        <v/>
      </c>
    </row>
    <row r="91" customFormat="false" ht="15.75" hidden="false" customHeight="true" outlineLevel="0" collapsed="false">
      <c r="A91" s="31" t="s">
        <v>132</v>
      </c>
      <c r="B91" s="39" t="n">
        <v>-0.2</v>
      </c>
      <c r="C91" s="4"/>
      <c r="D91" s="8" t="str">
        <f aca="false">IF(C91="Sí",$D$77*B91,"")</f>
        <v/>
      </c>
    </row>
    <row r="92" customFormat="false" ht="15.75" hidden="false" customHeight="true" outlineLevel="0" collapsed="false">
      <c r="A92" s="31" t="s">
        <v>133</v>
      </c>
      <c r="B92" s="39" t="n">
        <v>-1</v>
      </c>
      <c r="C92" s="4"/>
      <c r="D92" s="8" t="str">
        <f aca="false">IF(C92="Sí",$D$77*B92,"")</f>
        <v/>
      </c>
    </row>
    <row r="93" customFormat="false" ht="15.75" hidden="false" customHeight="true" outlineLevel="0" collapsed="false">
      <c r="A93" s="31" t="s">
        <v>134</v>
      </c>
      <c r="B93" s="39" t="n">
        <v>-0.2</v>
      </c>
      <c r="C93" s="4"/>
      <c r="D93" s="8" t="str">
        <f aca="false">IF(C93="Sí",$D$77*B93,"")</f>
        <v/>
      </c>
    </row>
    <row r="94" customFormat="false" ht="15.75" hidden="false" customHeight="true" outlineLevel="0" collapsed="false">
      <c r="A94" s="31" t="s">
        <v>135</v>
      </c>
      <c r="B94" s="39" t="n">
        <v>-1</v>
      </c>
      <c r="C94" s="4"/>
      <c r="D94" s="8" t="str">
        <f aca="false">IF(C94="Sí",$D$77*B94,"")</f>
        <v/>
      </c>
    </row>
    <row r="95" customFormat="false" ht="15.75" hidden="false" customHeight="true" outlineLevel="0" collapsed="false">
      <c r="A95" s="31" t="s">
        <v>136</v>
      </c>
      <c r="B95" s="39" t="n">
        <v>-0.75</v>
      </c>
      <c r="C95" s="4"/>
      <c r="D95" s="8" t="str">
        <f aca="false">IF(C95="Sí",$D$77*B95,"")</f>
        <v/>
      </c>
    </row>
    <row r="96" customFormat="false" ht="15.75" hidden="false" customHeight="true" outlineLevel="0" collapsed="false">
      <c r="A96" s="31" t="s">
        <v>137</v>
      </c>
      <c r="B96" s="39" t="n">
        <v>-0.75</v>
      </c>
      <c r="C96" s="4"/>
      <c r="D96" s="8" t="str">
        <f aca="false">IF(C96="Sí",$D$77*B96,"")</f>
        <v/>
      </c>
    </row>
    <row r="97" customFormat="false" ht="15.75" hidden="false" customHeight="true" outlineLevel="0" collapsed="false">
      <c r="A97" s="31" t="s">
        <v>138</v>
      </c>
      <c r="B97" s="39" t="n">
        <v>-1</v>
      </c>
      <c r="C97" s="4"/>
      <c r="D97" s="8" t="str">
        <f aca="false">IF(C97="Sí",$D$77*B97,"")</f>
        <v/>
      </c>
    </row>
    <row r="98" customFormat="false" ht="15.75" hidden="false" customHeight="true" outlineLevel="0" collapsed="false">
      <c r="A98" s="31" t="s">
        <v>139</v>
      </c>
      <c r="B98" s="39" t="n">
        <v>-0.5</v>
      </c>
      <c r="C98" s="4"/>
      <c r="D98" s="8" t="str">
        <f aca="false">IF(C98="Sí",$D$77*B98,"")</f>
        <v/>
      </c>
    </row>
    <row r="99" customFormat="false" ht="15.75" hidden="false" customHeight="true" outlineLevel="0" collapsed="false">
      <c r="A99" s="31" t="s">
        <v>140</v>
      </c>
      <c r="B99" s="39" t="n">
        <v>-1</v>
      </c>
      <c r="C99" s="4"/>
      <c r="D99" s="8" t="str">
        <f aca="false">IF(C99="Sí",$D$77*B99,"")</f>
        <v/>
      </c>
    </row>
    <row r="100" customFormat="false" ht="15.75" hidden="false" customHeight="true" outlineLevel="0" collapsed="false">
      <c r="A100" s="31" t="s">
        <v>141</v>
      </c>
      <c r="B100" s="39" t="n">
        <v>-1</v>
      </c>
      <c r="C100" s="4"/>
      <c r="D100" s="8" t="str">
        <f aca="false">IF(C100="Sí",$D$77*B100,"")</f>
        <v/>
      </c>
    </row>
    <row r="101" customFormat="false" ht="15.75" hidden="false" customHeight="true" outlineLevel="0" collapsed="false">
      <c r="A101" s="31" t="s">
        <v>142</v>
      </c>
      <c r="B101" s="39" t="n">
        <v>-0.25</v>
      </c>
      <c r="C101" s="4"/>
      <c r="D101" s="8" t="str">
        <f aca="false">IF(C101="Sí",$D$77*B101,"")</f>
        <v/>
      </c>
    </row>
    <row r="102" customFormat="false" ht="15.75" hidden="false" customHeight="true" outlineLevel="0" collapsed="false">
      <c r="A102" s="31" t="s">
        <v>143</v>
      </c>
      <c r="B102" s="39" t="n">
        <v>-1</v>
      </c>
      <c r="C102" s="4"/>
      <c r="D102" s="8" t="str">
        <f aca="false">IF(C102="Sí",$D$77*B102,"")</f>
        <v/>
      </c>
    </row>
    <row r="103" customFormat="false" ht="15.75" hidden="false" customHeight="true" outlineLevel="0" collapsed="false">
      <c r="A103" s="31" t="s">
        <v>144</v>
      </c>
      <c r="B103" s="39" t="n">
        <v>-1</v>
      </c>
      <c r="C103" s="4"/>
      <c r="D103" s="8" t="str">
        <f aca="false">IF(C103="Sí",$D$77*B103,"")</f>
        <v/>
      </c>
    </row>
    <row r="104" customFormat="false" ht="15.75" hidden="false" customHeight="true" outlineLevel="0" collapsed="false">
      <c r="A104" s="31" t="s">
        <v>145</v>
      </c>
      <c r="B104" s="39" t="n">
        <v>-1</v>
      </c>
      <c r="C104" s="4"/>
      <c r="D104" s="8" t="str">
        <f aca="false">IF(C104="Sí",$D$77*B104,"")</f>
        <v/>
      </c>
    </row>
    <row r="105" customFormat="false" ht="15.75" hidden="false" customHeight="true" outlineLevel="0" collapsed="false">
      <c r="A105" s="31" t="s">
        <v>146</v>
      </c>
      <c r="B105" s="39" t="n">
        <v>-1</v>
      </c>
      <c r="C105" s="4"/>
      <c r="D105" s="8" t="str">
        <f aca="false">IF(C105="Sí",$D$77*B105,"")</f>
        <v/>
      </c>
    </row>
    <row r="106" customFormat="false" ht="15.75" hidden="false" customHeight="true" outlineLevel="0" collapsed="false">
      <c r="A106" s="34" t="s">
        <v>147</v>
      </c>
      <c r="B106" s="36"/>
      <c r="C106" s="36"/>
      <c r="D106" s="16" t="str">
        <f aca="false">IF(SUM(D90:D105)=0,"",SUM(D90:D105))</f>
        <v/>
      </c>
    </row>
    <row r="107" customFormat="false" ht="1.5" hidden="false" customHeight="true" outlineLevel="0" collapsed="false">
      <c r="A107" s="18"/>
      <c r="B107" s="18"/>
      <c r="C107" s="18"/>
      <c r="D107" s="18"/>
    </row>
    <row r="108" customFormat="false" ht="21.75" hidden="false" customHeight="true" outlineLevel="0" collapsed="false">
      <c r="A108" s="40" t="s">
        <v>148</v>
      </c>
      <c r="B108" s="41"/>
      <c r="C108" s="41"/>
      <c r="D108" s="42" t="e">
        <f aca="false">IF(MAX(0,ROUND($D$77+$D$106,2))=0,"",MAX(0,ROUND($D$77+$D$106,2)))</f>
        <v>#VALUE!</v>
      </c>
    </row>
    <row r="109" customFormat="false" ht="1.5" hidden="false" customHeight="true" outlineLevel="0" collapsed="false">
      <c r="A109" s="18"/>
      <c r="B109" s="18"/>
      <c r="C109" s="18"/>
      <c r="D109" s="18"/>
    </row>
    <row r="110" customFormat="false" ht="15.75" hidden="false" customHeight="true" outlineLevel="0" collapsed="false">
      <c r="A110" s="43" t="s">
        <v>149</v>
      </c>
      <c r="B110" s="18"/>
      <c r="C110" s="18"/>
      <c r="D110" s="18"/>
    </row>
    <row r="111" customFormat="false" ht="18" hidden="false" customHeight="true" outlineLevel="0" collapsed="false">
      <c r="A111" s="37"/>
      <c r="B111" s="37"/>
      <c r="C111" s="37"/>
      <c r="D111" s="37"/>
    </row>
    <row r="112" customFormat="false" ht="18" hidden="false" customHeight="true" outlineLevel="0" collapsed="false">
      <c r="A112" s="37"/>
      <c r="B112" s="37"/>
      <c r="C112" s="37"/>
      <c r="D112" s="37"/>
    </row>
    <row r="113" customFormat="false" ht="3" hidden="false" customHeight="true" outlineLevel="0" collapsed="false">
      <c r="A113" s="18"/>
      <c r="B113" s="18"/>
      <c r="C113" s="18"/>
      <c r="D113" s="18"/>
    </row>
    <row r="114" customFormat="false" ht="12" hidden="false" customHeight="true" outlineLevel="0" collapsed="false">
      <c r="A114" s="18"/>
      <c r="B114" s="18"/>
      <c r="C114" s="18"/>
      <c r="D114" s="18"/>
    </row>
    <row r="115" customFormat="false" ht="8.25" hidden="false" customHeight="true" outlineLevel="0" collapsed="false">
      <c r="A115" s="44" t="s">
        <v>150</v>
      </c>
      <c r="B115" s="18"/>
      <c r="C115" s="44" t="s">
        <v>150</v>
      </c>
      <c r="D115" s="18"/>
    </row>
    <row r="116" customFormat="false" ht="13.5" hidden="false" customHeight="true" outlineLevel="0" collapsed="false">
      <c r="A116" s="44" t="s">
        <v>151</v>
      </c>
      <c r="B116" s="18"/>
      <c r="C116" s="44" t="s">
        <v>152</v>
      </c>
      <c r="D116" s="18"/>
    </row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</sheetData>
  <mergeCells count="8">
    <mergeCell ref="A8:D8"/>
    <mergeCell ref="A10:B10"/>
    <mergeCell ref="C10:D10"/>
    <mergeCell ref="A11:B11"/>
    <mergeCell ref="C11:D11"/>
    <mergeCell ref="A12:B12"/>
    <mergeCell ref="A111:D111"/>
    <mergeCell ref="A112:D112"/>
  </mergeCells>
  <conditionalFormatting sqref="D15:D76">
    <cfRule type="cellIs" priority="2" operator="greaterThan" aboveAverage="0" equalAverage="0" bottom="0" percent="0" rank="0" text="" dxfId="10">
      <formula>B15</formula>
    </cfRule>
  </conditionalFormatting>
  <dataValidations count="1">
    <dataValidation allowBlank="true" errorStyle="stop" operator="equal" showDropDown="false" showErrorMessage="false" showInputMessage="false" sqref="B81:B86 C90:C105" type="list">
      <formula1>"Sí,No"</formula1>
      <formula2>0</formula2>
    </dataValidation>
  </dataValidations>
  <printOptions headings="false" gridLines="false" gridLinesSet="true" horizontalCentered="true" verticalCentered="false"/>
  <pageMargins left="0.39375" right="0.39375" top="0.196527777777778" bottom="0.196527777777778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86"/>
  <sheetViews>
    <sheetView showFormulas="false" showGridLines="false" showRowColHeaders="true" showZeros="true" rightToLeft="false" tabSelected="false" showOutlineSymbols="true" defaultGridColor="true" view="normal" topLeftCell="A79" colorId="64" zoomScale="100" zoomScaleNormal="100" zoomScalePageLayoutView="100" workbookViewId="0">
      <selection pane="topLeft" activeCell="C11" activeCellId="0" sqref="C1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87.43"/>
    <col collapsed="false" customWidth="true" hidden="false" outlineLevel="0" max="2" min="2" style="1" width="11"/>
    <col collapsed="false" customWidth="true" hidden="false" outlineLevel="0" max="3" min="3" style="1" width="34"/>
    <col collapsed="false" customWidth="true" hidden="false" outlineLevel="0" max="4" min="4" style="1" width="11"/>
    <col collapsed="false" customWidth="true" hidden="false" outlineLevel="0" max="26" min="5" style="1" width="8.71"/>
  </cols>
  <sheetData>
    <row r="1" customFormat="false" ht="13.8" hidden="false" customHeight="false" outlineLevel="0" collapsed="false">
      <c r="A1" s="17" t="s">
        <v>41</v>
      </c>
      <c r="B1" s="18"/>
      <c r="C1" s="18"/>
      <c r="D1" s="18"/>
    </row>
    <row r="2" customFormat="false" ht="13.8" hidden="false" customHeight="false" outlineLevel="0" collapsed="false">
      <c r="A2" s="17" t="s">
        <v>42</v>
      </c>
      <c r="B2" s="18"/>
      <c r="C2" s="18"/>
      <c r="D2" s="18"/>
    </row>
    <row r="3" customFormat="false" ht="13.8" hidden="false" customHeight="false" outlineLevel="0" collapsed="false">
      <c r="A3" s="17" t="s">
        <v>43</v>
      </c>
      <c r="B3" s="18"/>
      <c r="C3" s="18"/>
      <c r="D3" s="18"/>
    </row>
    <row r="4" customFormat="false" ht="13.8" hidden="false" customHeight="false" outlineLevel="0" collapsed="false">
      <c r="A4" s="17" t="s">
        <v>44</v>
      </c>
      <c r="B4" s="18"/>
      <c r="C4" s="18"/>
      <c r="D4" s="18"/>
    </row>
    <row r="5" customFormat="false" ht="13.8" hidden="false" customHeight="false" outlineLevel="0" collapsed="false">
      <c r="A5" s="17" t="s">
        <v>45</v>
      </c>
      <c r="B5" s="18"/>
      <c r="C5" s="18"/>
      <c r="D5" s="18"/>
    </row>
    <row r="6" customFormat="false" ht="13.8" hidden="false" customHeight="false" outlineLevel="0" collapsed="false">
      <c r="A6" s="17" t="s">
        <v>46</v>
      </c>
      <c r="B6" s="18"/>
      <c r="C6" s="18"/>
      <c r="D6" s="18"/>
    </row>
    <row r="7" customFormat="false" ht="13.8" hidden="false" customHeight="false" outlineLevel="0" collapsed="false">
      <c r="A7" s="17"/>
      <c r="B7" s="18"/>
      <c r="C7" s="18"/>
      <c r="D7" s="18"/>
    </row>
    <row r="8" customFormat="false" ht="13.8" hidden="false" customHeight="false" outlineLevel="0" collapsed="false">
      <c r="A8" s="19" t="s">
        <v>47</v>
      </c>
      <c r="B8" s="19"/>
      <c r="C8" s="19"/>
      <c r="D8" s="19"/>
    </row>
    <row r="9" customFormat="false" ht="13.8" hidden="false" customHeight="false" outlineLevel="0" collapsed="false">
      <c r="A9" s="20"/>
      <c r="B9" s="20"/>
      <c r="C9" s="20"/>
      <c r="D9" s="20"/>
    </row>
    <row r="10" customFormat="false" ht="13.8" hidden="false" customHeight="false" outlineLevel="0" collapsed="false">
      <c r="A10" s="21" t="s">
        <v>48</v>
      </c>
      <c r="B10" s="21"/>
      <c r="C10" s="22" t="n">
        <v>46282</v>
      </c>
      <c r="D10" s="22"/>
    </row>
    <row r="11" customFormat="false" ht="13.8" hidden="false" customHeight="false" outlineLevel="0" collapsed="false">
      <c r="A11" s="21" t="s">
        <v>49</v>
      </c>
      <c r="B11" s="21"/>
      <c r="C11" s="23" t="str">
        <f aca="false">VLOOKUP(C12, Consolidado!$B$3:$C$26, 2, 0)</f>
        <v>KEVIN ANDRE MENDOZA VILLEDA</v>
      </c>
      <c r="D11" s="23"/>
    </row>
    <row r="12" customFormat="false" ht="13.8" hidden="false" customHeight="false" outlineLevel="0" collapsed="false">
      <c r="A12" s="21" t="s">
        <v>50</v>
      </c>
      <c r="B12" s="21"/>
      <c r="C12" s="45" t="n">
        <v>202407699</v>
      </c>
      <c r="D12" s="23"/>
    </row>
    <row r="13" customFormat="false" ht="13.8" hidden="false" customHeight="false" outlineLevel="0" collapsed="false">
      <c r="A13" s="18"/>
      <c r="B13" s="18"/>
      <c r="C13" s="18"/>
      <c r="D13" s="18"/>
    </row>
    <row r="14" customFormat="false" ht="19.5" hidden="false" customHeight="true" outlineLevel="0" collapsed="false">
      <c r="A14" s="24" t="s">
        <v>51</v>
      </c>
      <c r="B14" s="24" t="s">
        <v>52</v>
      </c>
      <c r="C14" s="24" t="s">
        <v>53</v>
      </c>
      <c r="D14" s="24" t="s">
        <v>54</v>
      </c>
    </row>
    <row r="15" customFormat="false" ht="19.5" hidden="false" customHeight="true" outlineLevel="0" collapsed="false">
      <c r="A15" s="25" t="s">
        <v>55</v>
      </c>
      <c r="B15" s="26" t="n">
        <f aca="false">B16+B21+B25</f>
        <v>20</v>
      </c>
      <c r="C15" s="25"/>
      <c r="D15" s="27" t="str">
        <f aca="false">IF(D16+D21+D25=0,"",D16+D21+D25)</f>
        <v/>
      </c>
    </row>
    <row r="16" customFormat="false" ht="18" hidden="false" customHeight="true" outlineLevel="0" collapsed="false">
      <c r="A16" s="28" t="s">
        <v>56</v>
      </c>
      <c r="B16" s="29" t="n">
        <f aca="false">SUM(B17:B20)</f>
        <v>8</v>
      </c>
      <c r="C16" s="28"/>
      <c r="D16" s="30" t="n">
        <f aca="false">SUM(D17:D20)</f>
        <v>0</v>
      </c>
    </row>
    <row r="17" customFormat="false" ht="15" hidden="false" customHeight="true" outlineLevel="0" collapsed="false">
      <c r="A17" s="31" t="s">
        <v>57</v>
      </c>
      <c r="B17" s="32" t="n">
        <v>2</v>
      </c>
      <c r="C17" s="31"/>
      <c r="D17" s="33"/>
    </row>
    <row r="18" customFormat="false" ht="15" hidden="false" customHeight="true" outlineLevel="0" collapsed="false">
      <c r="A18" s="31" t="s">
        <v>58</v>
      </c>
      <c r="B18" s="32" t="n">
        <v>2</v>
      </c>
      <c r="C18" s="31"/>
      <c r="D18" s="33"/>
    </row>
    <row r="19" customFormat="false" ht="15" hidden="false" customHeight="true" outlineLevel="0" collapsed="false">
      <c r="A19" s="31" t="s">
        <v>59</v>
      </c>
      <c r="B19" s="32" t="n">
        <v>2</v>
      </c>
      <c r="C19" s="31"/>
      <c r="D19" s="33"/>
    </row>
    <row r="20" customFormat="false" ht="15" hidden="false" customHeight="true" outlineLevel="0" collapsed="false">
      <c r="A20" s="31" t="s">
        <v>60</v>
      </c>
      <c r="B20" s="32" t="n">
        <v>2</v>
      </c>
      <c r="C20" s="31"/>
      <c r="D20" s="33"/>
    </row>
    <row r="21" customFormat="false" ht="18" hidden="false" customHeight="true" outlineLevel="0" collapsed="false">
      <c r="A21" s="28" t="s">
        <v>61</v>
      </c>
      <c r="B21" s="29" t="n">
        <f aca="false">SUM(B22:B24)</f>
        <v>6</v>
      </c>
      <c r="C21" s="28"/>
      <c r="D21" s="30" t="n">
        <f aca="false">SUM(D22:D24)</f>
        <v>0</v>
      </c>
    </row>
    <row r="22" customFormat="false" ht="15" hidden="false" customHeight="true" outlineLevel="0" collapsed="false">
      <c r="A22" s="31" t="s">
        <v>62</v>
      </c>
      <c r="B22" s="32" t="n">
        <v>2</v>
      </c>
      <c r="C22" s="31"/>
      <c r="D22" s="33"/>
    </row>
    <row r="23" customFormat="false" ht="15" hidden="false" customHeight="true" outlineLevel="0" collapsed="false">
      <c r="A23" s="31" t="s">
        <v>63</v>
      </c>
      <c r="B23" s="32" t="n">
        <v>2</v>
      </c>
      <c r="C23" s="31"/>
      <c r="D23" s="33"/>
    </row>
    <row r="24" customFormat="false" ht="15" hidden="false" customHeight="true" outlineLevel="0" collapsed="false">
      <c r="A24" s="31" t="s">
        <v>64</v>
      </c>
      <c r="B24" s="32" t="n">
        <v>2</v>
      </c>
      <c r="C24" s="31"/>
      <c r="D24" s="33"/>
    </row>
    <row r="25" customFormat="false" ht="18" hidden="false" customHeight="true" outlineLevel="0" collapsed="false">
      <c r="A25" s="28" t="s">
        <v>65</v>
      </c>
      <c r="B25" s="29" t="n">
        <f aca="false">SUM(B26:B28)</f>
        <v>6</v>
      </c>
      <c r="C25" s="28"/>
      <c r="D25" s="30" t="n">
        <f aca="false">SUM(D26:D28)</f>
        <v>0</v>
      </c>
    </row>
    <row r="26" customFormat="false" ht="16.5" hidden="false" customHeight="true" outlineLevel="0" collapsed="false">
      <c r="A26" s="31" t="s">
        <v>66</v>
      </c>
      <c r="B26" s="32" t="n">
        <v>2</v>
      </c>
      <c r="C26" s="31"/>
      <c r="D26" s="33"/>
    </row>
    <row r="27" customFormat="false" ht="15" hidden="false" customHeight="true" outlineLevel="0" collapsed="false">
      <c r="A27" s="31" t="s">
        <v>67</v>
      </c>
      <c r="B27" s="32" t="n">
        <v>2</v>
      </c>
      <c r="C27" s="31"/>
      <c r="D27" s="33"/>
    </row>
    <row r="28" customFormat="false" ht="15" hidden="false" customHeight="true" outlineLevel="0" collapsed="false">
      <c r="A28" s="31" t="s">
        <v>68</v>
      </c>
      <c r="B28" s="32" t="n">
        <v>2</v>
      </c>
      <c r="C28" s="31"/>
      <c r="D28" s="33"/>
    </row>
    <row r="29" customFormat="false" ht="19.5" hidden="false" customHeight="true" outlineLevel="0" collapsed="false">
      <c r="A29" s="25" t="s">
        <v>69</v>
      </c>
      <c r="B29" s="26" t="n">
        <f aca="false">B30+B34+B40+B44+B49+B53+B58+B63</f>
        <v>55</v>
      </c>
      <c r="C29" s="25"/>
      <c r="D29" s="27" t="str">
        <f aca="false">IF(D30+D34+D40+D44+D49+D53+D58+D63=0,"",D30+D34+D40+D44+D49+D53+D58+D63)</f>
        <v/>
      </c>
    </row>
    <row r="30" customFormat="false" ht="18" hidden="false" customHeight="true" outlineLevel="0" collapsed="false">
      <c r="A30" s="28" t="s">
        <v>70</v>
      </c>
      <c r="B30" s="29" t="n">
        <f aca="false">SUM(B31:B33)</f>
        <v>5</v>
      </c>
      <c r="C30" s="28"/>
      <c r="D30" s="30" t="n">
        <f aca="false">SUM(D31:D33)</f>
        <v>0</v>
      </c>
    </row>
    <row r="31" customFormat="false" ht="15" hidden="false" customHeight="true" outlineLevel="0" collapsed="false">
      <c r="A31" s="31" t="s">
        <v>71</v>
      </c>
      <c r="B31" s="32" t="n">
        <v>2</v>
      </c>
      <c r="C31" s="31"/>
      <c r="D31" s="33"/>
    </row>
    <row r="32" customFormat="false" ht="15" hidden="false" customHeight="true" outlineLevel="0" collapsed="false">
      <c r="A32" s="31" t="s">
        <v>72</v>
      </c>
      <c r="B32" s="32" t="n">
        <v>2</v>
      </c>
      <c r="C32" s="31"/>
      <c r="D32" s="33"/>
    </row>
    <row r="33" customFormat="false" ht="15" hidden="false" customHeight="true" outlineLevel="0" collapsed="false">
      <c r="A33" s="31" t="s">
        <v>73</v>
      </c>
      <c r="B33" s="32" t="n">
        <v>1</v>
      </c>
      <c r="C33" s="31"/>
      <c r="D33" s="33"/>
    </row>
    <row r="34" customFormat="false" ht="18" hidden="false" customHeight="true" outlineLevel="0" collapsed="false">
      <c r="A34" s="28" t="s">
        <v>74</v>
      </c>
      <c r="B34" s="29" t="n">
        <f aca="false">SUM(B35:B39)</f>
        <v>10</v>
      </c>
      <c r="C34" s="28"/>
      <c r="D34" s="30" t="n">
        <f aca="false">SUM(D35:D39)</f>
        <v>0</v>
      </c>
    </row>
    <row r="35" customFormat="false" ht="15" hidden="false" customHeight="true" outlineLevel="0" collapsed="false">
      <c r="A35" s="31" t="s">
        <v>75</v>
      </c>
      <c r="B35" s="32" t="n">
        <v>3</v>
      </c>
      <c r="C35" s="31"/>
      <c r="D35" s="33"/>
    </row>
    <row r="36" customFormat="false" ht="15" hidden="false" customHeight="true" outlineLevel="0" collapsed="false">
      <c r="A36" s="31" t="s">
        <v>76</v>
      </c>
      <c r="B36" s="32" t="n">
        <v>2</v>
      </c>
      <c r="C36" s="31"/>
      <c r="D36" s="33"/>
    </row>
    <row r="37" customFormat="false" ht="15" hidden="false" customHeight="true" outlineLevel="0" collapsed="false">
      <c r="A37" s="31" t="s">
        <v>77</v>
      </c>
      <c r="B37" s="32" t="n">
        <v>2</v>
      </c>
      <c r="C37" s="31"/>
      <c r="D37" s="33"/>
    </row>
    <row r="38" customFormat="false" ht="15" hidden="false" customHeight="true" outlineLevel="0" collapsed="false">
      <c r="A38" s="31" t="s">
        <v>78</v>
      </c>
      <c r="B38" s="32" t="n">
        <v>1</v>
      </c>
      <c r="C38" s="31"/>
      <c r="D38" s="33"/>
    </row>
    <row r="39" customFormat="false" ht="15" hidden="false" customHeight="true" outlineLevel="0" collapsed="false">
      <c r="A39" s="31" t="s">
        <v>79</v>
      </c>
      <c r="B39" s="32" t="n">
        <v>2</v>
      </c>
      <c r="C39" s="31"/>
      <c r="D39" s="33"/>
    </row>
    <row r="40" customFormat="false" ht="18" hidden="false" customHeight="true" outlineLevel="0" collapsed="false">
      <c r="A40" s="28" t="s">
        <v>80</v>
      </c>
      <c r="B40" s="29" t="n">
        <f aca="false">SUM(B41:B43)</f>
        <v>6</v>
      </c>
      <c r="C40" s="28"/>
      <c r="D40" s="30" t="n">
        <f aca="false">SUM(D41:D43)</f>
        <v>0</v>
      </c>
    </row>
    <row r="41" customFormat="false" ht="15" hidden="false" customHeight="true" outlineLevel="0" collapsed="false">
      <c r="A41" s="31" t="s">
        <v>81</v>
      </c>
      <c r="B41" s="32" t="n">
        <v>2</v>
      </c>
      <c r="C41" s="31"/>
      <c r="D41" s="33"/>
    </row>
    <row r="42" customFormat="false" ht="15" hidden="false" customHeight="true" outlineLevel="0" collapsed="false">
      <c r="A42" s="31" t="s">
        <v>82</v>
      </c>
      <c r="B42" s="32" t="n">
        <v>2</v>
      </c>
      <c r="C42" s="31"/>
      <c r="D42" s="33"/>
    </row>
    <row r="43" customFormat="false" ht="15" hidden="false" customHeight="true" outlineLevel="0" collapsed="false">
      <c r="A43" s="31" t="s">
        <v>83</v>
      </c>
      <c r="B43" s="32" t="n">
        <v>2</v>
      </c>
      <c r="C43" s="31"/>
      <c r="D43" s="33"/>
    </row>
    <row r="44" customFormat="false" ht="18" hidden="false" customHeight="true" outlineLevel="0" collapsed="false">
      <c r="A44" s="28" t="s">
        <v>84</v>
      </c>
      <c r="B44" s="29" t="n">
        <f aca="false">SUM(B45:B48)</f>
        <v>8</v>
      </c>
      <c r="C44" s="28"/>
      <c r="D44" s="30" t="n">
        <f aca="false">SUM(D45:D48)</f>
        <v>0</v>
      </c>
    </row>
    <row r="45" customFormat="false" ht="15" hidden="false" customHeight="true" outlineLevel="0" collapsed="false">
      <c r="A45" s="31" t="s">
        <v>85</v>
      </c>
      <c r="B45" s="32" t="n">
        <v>2</v>
      </c>
      <c r="C45" s="31"/>
      <c r="D45" s="33"/>
    </row>
    <row r="46" customFormat="false" ht="15" hidden="false" customHeight="true" outlineLevel="0" collapsed="false">
      <c r="A46" s="31" t="s">
        <v>86</v>
      </c>
      <c r="B46" s="32" t="n">
        <v>3</v>
      </c>
      <c r="C46" s="31"/>
      <c r="D46" s="33"/>
    </row>
    <row r="47" customFormat="false" ht="15" hidden="false" customHeight="true" outlineLevel="0" collapsed="false">
      <c r="A47" s="31" t="s">
        <v>87</v>
      </c>
      <c r="B47" s="32" t="n">
        <v>2</v>
      </c>
      <c r="C47" s="31"/>
      <c r="D47" s="33"/>
    </row>
    <row r="48" customFormat="false" ht="15" hidden="false" customHeight="true" outlineLevel="0" collapsed="false">
      <c r="A48" s="31" t="s">
        <v>88</v>
      </c>
      <c r="B48" s="32" t="n">
        <v>1</v>
      </c>
      <c r="C48" s="31"/>
      <c r="D48" s="33"/>
    </row>
    <row r="49" customFormat="false" ht="18" hidden="false" customHeight="true" outlineLevel="0" collapsed="false">
      <c r="A49" s="28" t="s">
        <v>89</v>
      </c>
      <c r="B49" s="29" t="n">
        <f aca="false">SUM(B50:B52)</f>
        <v>6</v>
      </c>
      <c r="C49" s="28"/>
      <c r="D49" s="30" t="n">
        <f aca="false">SUM(D50:D52)</f>
        <v>0</v>
      </c>
    </row>
    <row r="50" customFormat="false" ht="15" hidden="false" customHeight="true" outlineLevel="0" collapsed="false">
      <c r="A50" s="31" t="s">
        <v>90</v>
      </c>
      <c r="B50" s="32" t="n">
        <v>2</v>
      </c>
      <c r="C50" s="31"/>
      <c r="D50" s="33"/>
    </row>
    <row r="51" customFormat="false" ht="15" hidden="false" customHeight="true" outlineLevel="0" collapsed="false">
      <c r="A51" s="31" t="s">
        <v>91</v>
      </c>
      <c r="B51" s="32" t="n">
        <v>2</v>
      </c>
      <c r="C51" s="31"/>
      <c r="D51" s="33"/>
    </row>
    <row r="52" customFormat="false" ht="15" hidden="false" customHeight="true" outlineLevel="0" collapsed="false">
      <c r="A52" s="31" t="s">
        <v>92</v>
      </c>
      <c r="B52" s="32" t="n">
        <v>2</v>
      </c>
      <c r="C52" s="31"/>
      <c r="D52" s="33"/>
    </row>
    <row r="53" customFormat="false" ht="18" hidden="false" customHeight="true" outlineLevel="0" collapsed="false">
      <c r="A53" s="28" t="s">
        <v>93</v>
      </c>
      <c r="B53" s="29" t="n">
        <f aca="false">SUM(B54:B57)</f>
        <v>8</v>
      </c>
      <c r="C53" s="28"/>
      <c r="D53" s="30" t="n">
        <f aca="false">SUM(D54:D57)</f>
        <v>0</v>
      </c>
    </row>
    <row r="54" customFormat="false" ht="15" hidden="false" customHeight="true" outlineLevel="0" collapsed="false">
      <c r="A54" s="31" t="s">
        <v>94</v>
      </c>
      <c r="B54" s="32" t="n">
        <v>2</v>
      </c>
      <c r="C54" s="31"/>
      <c r="D54" s="33"/>
    </row>
    <row r="55" customFormat="false" ht="15" hidden="false" customHeight="true" outlineLevel="0" collapsed="false">
      <c r="A55" s="31" t="s">
        <v>95</v>
      </c>
      <c r="B55" s="32" t="n">
        <v>3</v>
      </c>
      <c r="C55" s="31"/>
      <c r="D55" s="33"/>
    </row>
    <row r="56" customFormat="false" ht="15" hidden="false" customHeight="true" outlineLevel="0" collapsed="false">
      <c r="A56" s="31" t="s">
        <v>96</v>
      </c>
      <c r="B56" s="32" t="n">
        <v>2</v>
      </c>
      <c r="C56" s="31"/>
      <c r="D56" s="33"/>
    </row>
    <row r="57" customFormat="false" ht="15" hidden="false" customHeight="true" outlineLevel="0" collapsed="false">
      <c r="A57" s="31" t="s">
        <v>97</v>
      </c>
      <c r="B57" s="32" t="n">
        <v>1</v>
      </c>
      <c r="C57" s="31"/>
      <c r="D57" s="33"/>
    </row>
    <row r="58" customFormat="false" ht="18" hidden="false" customHeight="true" outlineLevel="0" collapsed="false">
      <c r="A58" s="28" t="s">
        <v>98</v>
      </c>
      <c r="B58" s="29" t="n">
        <f aca="false">SUM(B59:B62)</f>
        <v>6</v>
      </c>
      <c r="C58" s="28"/>
      <c r="D58" s="30" t="n">
        <f aca="false">SUM(D59:D62)</f>
        <v>0</v>
      </c>
    </row>
    <row r="59" customFormat="false" ht="15" hidden="false" customHeight="true" outlineLevel="0" collapsed="false">
      <c r="A59" s="31" t="s">
        <v>99</v>
      </c>
      <c r="B59" s="32" t="n">
        <v>2</v>
      </c>
      <c r="C59" s="31"/>
      <c r="D59" s="33"/>
    </row>
    <row r="60" customFormat="false" ht="15" hidden="false" customHeight="true" outlineLevel="0" collapsed="false">
      <c r="A60" s="31" t="s">
        <v>100</v>
      </c>
      <c r="B60" s="32" t="n">
        <v>2</v>
      </c>
      <c r="C60" s="31"/>
      <c r="D60" s="33"/>
    </row>
    <row r="61" customFormat="false" ht="15" hidden="false" customHeight="true" outlineLevel="0" collapsed="false">
      <c r="A61" s="31" t="s">
        <v>101</v>
      </c>
      <c r="B61" s="32" t="n">
        <v>1</v>
      </c>
      <c r="C61" s="31"/>
      <c r="D61" s="33"/>
    </row>
    <row r="62" customFormat="false" ht="15" hidden="false" customHeight="true" outlineLevel="0" collapsed="false">
      <c r="A62" s="31" t="s">
        <v>102</v>
      </c>
      <c r="B62" s="32" t="n">
        <v>1</v>
      </c>
      <c r="C62" s="31"/>
      <c r="D62" s="33"/>
    </row>
    <row r="63" customFormat="false" ht="15" hidden="false" customHeight="true" outlineLevel="0" collapsed="false">
      <c r="A63" s="28" t="s">
        <v>103</v>
      </c>
      <c r="B63" s="29" t="n">
        <f aca="false">SUM(B64:B65)</f>
        <v>6</v>
      </c>
      <c r="C63" s="28"/>
      <c r="D63" s="30" t="n">
        <f aca="false">SUM(D64:D65)</f>
        <v>0</v>
      </c>
    </row>
    <row r="64" customFormat="false" ht="15" hidden="false" customHeight="true" outlineLevel="0" collapsed="false">
      <c r="A64" s="31" t="s">
        <v>104</v>
      </c>
      <c r="B64" s="32" t="n">
        <v>3</v>
      </c>
      <c r="C64" s="31"/>
      <c r="D64" s="33"/>
    </row>
    <row r="65" customFormat="false" ht="15" hidden="false" customHeight="true" outlineLevel="0" collapsed="false">
      <c r="A65" s="31" t="s">
        <v>105</v>
      </c>
      <c r="B65" s="32" t="n">
        <v>3</v>
      </c>
      <c r="C65" s="31"/>
      <c r="D65" s="33"/>
    </row>
    <row r="66" customFormat="false" ht="19.5" hidden="false" customHeight="true" outlineLevel="0" collapsed="false">
      <c r="A66" s="25" t="s">
        <v>106</v>
      </c>
      <c r="B66" s="26" t="n">
        <f aca="false">B67+B73</f>
        <v>25</v>
      </c>
      <c r="C66" s="25"/>
      <c r="D66" s="27" t="e">
        <f aca="false">IF(D67+D73=0,"",D67+D73)</f>
        <v>#VALUE!</v>
      </c>
    </row>
    <row r="67" customFormat="false" ht="18" hidden="false" customHeight="true" outlineLevel="0" collapsed="false">
      <c r="A67" s="28" t="s">
        <v>107</v>
      </c>
      <c r="B67" s="29" t="n">
        <f aca="false">SUM(B68:B72)</f>
        <v>10</v>
      </c>
      <c r="C67" s="28"/>
      <c r="D67" s="30" t="str">
        <f aca="false">IF(SUM(D68:D72)=0,"",SUM(D68:D72))</f>
        <v/>
      </c>
    </row>
    <row r="68" customFormat="false" ht="15" hidden="false" customHeight="true" outlineLevel="0" collapsed="false">
      <c r="A68" s="31" t="s">
        <v>108</v>
      </c>
      <c r="B68" s="32" t="n">
        <v>2</v>
      </c>
      <c r="C68" s="31"/>
      <c r="D68" s="33"/>
    </row>
    <row r="69" customFormat="false" ht="15" hidden="false" customHeight="true" outlineLevel="0" collapsed="false">
      <c r="A69" s="31" t="s">
        <v>109</v>
      </c>
      <c r="B69" s="32" t="n">
        <v>2</v>
      </c>
      <c r="C69" s="31"/>
      <c r="D69" s="33"/>
    </row>
    <row r="70" customFormat="false" ht="15" hidden="false" customHeight="true" outlineLevel="0" collapsed="false">
      <c r="A70" s="31" t="s">
        <v>110</v>
      </c>
      <c r="B70" s="32" t="n">
        <v>2</v>
      </c>
      <c r="C70" s="31"/>
      <c r="D70" s="33"/>
    </row>
    <row r="71" customFormat="false" ht="15" hidden="false" customHeight="true" outlineLevel="0" collapsed="false">
      <c r="A71" s="31" t="s">
        <v>111</v>
      </c>
      <c r="B71" s="32" t="n">
        <v>2</v>
      </c>
      <c r="C71" s="31"/>
      <c r="D71" s="33"/>
    </row>
    <row r="72" customFormat="false" ht="15" hidden="false" customHeight="true" outlineLevel="0" collapsed="false">
      <c r="A72" s="31" t="s">
        <v>112</v>
      </c>
      <c r="B72" s="32" t="n">
        <v>2</v>
      </c>
      <c r="C72" s="31"/>
      <c r="D72" s="33"/>
    </row>
    <row r="73" customFormat="false" ht="18" hidden="false" customHeight="true" outlineLevel="0" collapsed="false">
      <c r="A73" s="28" t="s">
        <v>113</v>
      </c>
      <c r="B73" s="29" t="n">
        <f aca="false">SUM(B74:B76)</f>
        <v>15</v>
      </c>
      <c r="C73" s="28"/>
      <c r="D73" s="30" t="str">
        <f aca="false">IF(SUM(D74:D76)=0,"",SUM(D74:D76))</f>
        <v/>
      </c>
    </row>
    <row r="74" customFormat="false" ht="15" hidden="false" customHeight="true" outlineLevel="0" collapsed="false">
      <c r="A74" s="31" t="s">
        <v>114</v>
      </c>
      <c r="B74" s="32" t="n">
        <v>5</v>
      </c>
      <c r="C74" s="31"/>
      <c r="D74" s="33"/>
    </row>
    <row r="75" customFormat="false" ht="15" hidden="false" customHeight="true" outlineLevel="0" collapsed="false">
      <c r="A75" s="31" t="s">
        <v>115</v>
      </c>
      <c r="B75" s="32" t="n">
        <v>5</v>
      </c>
      <c r="C75" s="31"/>
      <c r="D75" s="33"/>
    </row>
    <row r="76" customFormat="false" ht="15" hidden="false" customHeight="true" outlineLevel="0" collapsed="false">
      <c r="A76" s="31" t="s">
        <v>116</v>
      </c>
      <c r="B76" s="32" t="n">
        <v>5</v>
      </c>
      <c r="C76" s="31"/>
      <c r="D76" s="33"/>
    </row>
    <row r="77" customFormat="false" ht="19.5" hidden="false" customHeight="true" outlineLevel="0" collapsed="false">
      <c r="A77" s="34" t="s">
        <v>117</v>
      </c>
      <c r="B77" s="35" t="n">
        <f aca="false">B15+B29+B66</f>
        <v>100</v>
      </c>
      <c r="C77" s="36"/>
      <c r="D77" s="16" t="e">
        <f aca="false">IF(D15+D29+D66=0,"",D15+D29+D66)</f>
        <v>#VALUE!</v>
      </c>
    </row>
    <row r="78" customFormat="false" ht="1.5" hidden="false" customHeight="true" outlineLevel="0" collapsed="false">
      <c r="A78" s="18"/>
      <c r="B78" s="18"/>
      <c r="C78" s="18"/>
      <c r="D78" s="18"/>
    </row>
    <row r="79" customFormat="false" ht="15.75" hidden="false" customHeight="true" outlineLevel="0" collapsed="false">
      <c r="A79" s="17" t="s">
        <v>118</v>
      </c>
      <c r="B79" s="18"/>
      <c r="C79" s="18"/>
      <c r="D79" s="18"/>
    </row>
    <row r="80" customFormat="false" ht="15.75" hidden="false" customHeight="true" outlineLevel="0" collapsed="false">
      <c r="A80" s="24" t="s">
        <v>119</v>
      </c>
      <c r="B80" s="24" t="s">
        <v>120</v>
      </c>
      <c r="C80" s="24" t="s">
        <v>53</v>
      </c>
      <c r="D80" s="24"/>
    </row>
    <row r="81" customFormat="false" ht="15.75" hidden="false" customHeight="true" outlineLevel="0" collapsed="false">
      <c r="A81" s="31" t="s">
        <v>121</v>
      </c>
      <c r="B81" s="4"/>
      <c r="C81" s="37"/>
      <c r="D81" s="38"/>
    </row>
    <row r="82" customFormat="false" ht="15.75" hidden="false" customHeight="true" outlineLevel="0" collapsed="false">
      <c r="A82" s="31" t="s">
        <v>122</v>
      </c>
      <c r="B82" s="4"/>
      <c r="C82" s="37"/>
      <c r="D82" s="38"/>
    </row>
    <row r="83" customFormat="false" ht="15.75" hidden="false" customHeight="true" outlineLevel="0" collapsed="false">
      <c r="A83" s="31" t="s">
        <v>123</v>
      </c>
      <c r="B83" s="4"/>
      <c r="C83" s="37"/>
      <c r="D83" s="38"/>
    </row>
    <row r="84" customFormat="false" ht="15.75" hidden="false" customHeight="true" outlineLevel="0" collapsed="false">
      <c r="A84" s="31" t="s">
        <v>124</v>
      </c>
      <c r="B84" s="4"/>
      <c r="C84" s="37"/>
      <c r="D84" s="38"/>
    </row>
    <row r="85" customFormat="false" ht="15.75" hidden="false" customHeight="true" outlineLevel="0" collapsed="false">
      <c r="A85" s="31" t="s">
        <v>125</v>
      </c>
      <c r="B85" s="4"/>
      <c r="C85" s="37"/>
      <c r="D85" s="38"/>
    </row>
    <row r="86" customFormat="false" ht="15.75" hidden="false" customHeight="true" outlineLevel="0" collapsed="false">
      <c r="A86" s="31" t="s">
        <v>126</v>
      </c>
      <c r="B86" s="4"/>
      <c r="C86" s="37"/>
      <c r="D86" s="38"/>
    </row>
    <row r="87" customFormat="false" ht="1.5" hidden="false" customHeight="true" outlineLevel="0" collapsed="false">
      <c r="A87" s="18"/>
      <c r="B87" s="18"/>
      <c r="C87" s="18"/>
      <c r="D87" s="18"/>
    </row>
    <row r="88" customFormat="false" ht="15.75" hidden="false" customHeight="true" outlineLevel="0" collapsed="false">
      <c r="A88" s="17" t="s">
        <v>127</v>
      </c>
      <c r="B88" s="18"/>
      <c r="C88" s="18"/>
      <c r="D88" s="18"/>
    </row>
    <row r="89" customFormat="false" ht="15.75" hidden="false" customHeight="true" outlineLevel="0" collapsed="false">
      <c r="A89" s="24" t="s">
        <v>128</v>
      </c>
      <c r="B89" s="24" t="s">
        <v>8</v>
      </c>
      <c r="C89" s="24" t="s">
        <v>129</v>
      </c>
      <c r="D89" s="24" t="s">
        <v>130</v>
      </c>
    </row>
    <row r="90" customFormat="false" ht="15.75" hidden="false" customHeight="true" outlineLevel="0" collapsed="false">
      <c r="A90" s="31" t="s">
        <v>131</v>
      </c>
      <c r="B90" s="39" t="n">
        <v>-0.3</v>
      </c>
      <c r="C90" s="4"/>
      <c r="D90" s="8" t="str">
        <f aca="false">IF(C90="Sí",$D$77*B90,"")</f>
        <v/>
      </c>
    </row>
    <row r="91" customFormat="false" ht="15.75" hidden="false" customHeight="true" outlineLevel="0" collapsed="false">
      <c r="A91" s="31" t="s">
        <v>132</v>
      </c>
      <c r="B91" s="39" t="n">
        <v>-0.2</v>
      </c>
      <c r="C91" s="4"/>
      <c r="D91" s="8" t="str">
        <f aca="false">IF(C91="Sí",$D$77*B91,"")</f>
        <v/>
      </c>
    </row>
    <row r="92" customFormat="false" ht="15.75" hidden="false" customHeight="true" outlineLevel="0" collapsed="false">
      <c r="A92" s="31" t="s">
        <v>133</v>
      </c>
      <c r="B92" s="39" t="n">
        <v>-1</v>
      </c>
      <c r="C92" s="4"/>
      <c r="D92" s="8" t="str">
        <f aca="false">IF(C92="Sí",$D$77*B92,"")</f>
        <v/>
      </c>
    </row>
    <row r="93" customFormat="false" ht="15.75" hidden="false" customHeight="true" outlineLevel="0" collapsed="false">
      <c r="A93" s="31" t="s">
        <v>134</v>
      </c>
      <c r="B93" s="39" t="n">
        <v>-0.2</v>
      </c>
      <c r="C93" s="4"/>
      <c r="D93" s="8" t="str">
        <f aca="false">IF(C93="Sí",$D$77*B93,"")</f>
        <v/>
      </c>
    </row>
    <row r="94" customFormat="false" ht="15.75" hidden="false" customHeight="true" outlineLevel="0" collapsed="false">
      <c r="A94" s="31" t="s">
        <v>135</v>
      </c>
      <c r="B94" s="39" t="n">
        <v>-1</v>
      </c>
      <c r="C94" s="4"/>
      <c r="D94" s="8" t="str">
        <f aca="false">IF(C94="Sí",$D$77*B94,"")</f>
        <v/>
      </c>
    </row>
    <row r="95" customFormat="false" ht="15.75" hidden="false" customHeight="true" outlineLevel="0" collapsed="false">
      <c r="A95" s="31" t="s">
        <v>136</v>
      </c>
      <c r="B95" s="39" t="n">
        <v>-0.75</v>
      </c>
      <c r="C95" s="4"/>
      <c r="D95" s="8" t="str">
        <f aca="false">IF(C95="Sí",$D$77*B95,"")</f>
        <v/>
      </c>
    </row>
    <row r="96" customFormat="false" ht="15.75" hidden="false" customHeight="true" outlineLevel="0" collapsed="false">
      <c r="A96" s="31" t="s">
        <v>137</v>
      </c>
      <c r="B96" s="39" t="n">
        <v>-0.75</v>
      </c>
      <c r="C96" s="4"/>
      <c r="D96" s="8" t="str">
        <f aca="false">IF(C96="Sí",$D$77*B96,"")</f>
        <v/>
      </c>
    </row>
    <row r="97" customFormat="false" ht="15.75" hidden="false" customHeight="true" outlineLevel="0" collapsed="false">
      <c r="A97" s="31" t="s">
        <v>138</v>
      </c>
      <c r="B97" s="39" t="n">
        <v>-1</v>
      </c>
      <c r="C97" s="4"/>
      <c r="D97" s="8" t="str">
        <f aca="false">IF(C97="Sí",$D$77*B97,"")</f>
        <v/>
      </c>
    </row>
    <row r="98" customFormat="false" ht="15.75" hidden="false" customHeight="true" outlineLevel="0" collapsed="false">
      <c r="A98" s="31" t="s">
        <v>139</v>
      </c>
      <c r="B98" s="39" t="n">
        <v>-0.5</v>
      </c>
      <c r="C98" s="4"/>
      <c r="D98" s="8" t="str">
        <f aca="false">IF(C98="Sí",$D$77*B98,"")</f>
        <v/>
      </c>
    </row>
    <row r="99" customFormat="false" ht="15.75" hidden="false" customHeight="true" outlineLevel="0" collapsed="false">
      <c r="A99" s="31" t="s">
        <v>140</v>
      </c>
      <c r="B99" s="39" t="n">
        <v>-1</v>
      </c>
      <c r="C99" s="4"/>
      <c r="D99" s="8" t="str">
        <f aca="false">IF(C99="Sí",$D$77*B99,"")</f>
        <v/>
      </c>
    </row>
    <row r="100" customFormat="false" ht="15.75" hidden="false" customHeight="true" outlineLevel="0" collapsed="false">
      <c r="A100" s="31" t="s">
        <v>141</v>
      </c>
      <c r="B100" s="39" t="n">
        <v>-1</v>
      </c>
      <c r="C100" s="4"/>
      <c r="D100" s="8" t="str">
        <f aca="false">IF(C100="Sí",$D$77*B100,"")</f>
        <v/>
      </c>
    </row>
    <row r="101" customFormat="false" ht="15.75" hidden="false" customHeight="true" outlineLevel="0" collapsed="false">
      <c r="A101" s="31" t="s">
        <v>142</v>
      </c>
      <c r="B101" s="39" t="n">
        <v>-0.25</v>
      </c>
      <c r="C101" s="4"/>
      <c r="D101" s="8" t="str">
        <f aca="false">IF(C101="Sí",$D$77*B101,"")</f>
        <v/>
      </c>
    </row>
    <row r="102" customFormat="false" ht="15.75" hidden="false" customHeight="true" outlineLevel="0" collapsed="false">
      <c r="A102" s="31" t="s">
        <v>143</v>
      </c>
      <c r="B102" s="39" t="n">
        <v>-1</v>
      </c>
      <c r="C102" s="4"/>
      <c r="D102" s="8" t="str">
        <f aca="false">IF(C102="Sí",$D$77*B102,"")</f>
        <v/>
      </c>
    </row>
    <row r="103" customFormat="false" ht="15.75" hidden="false" customHeight="true" outlineLevel="0" collapsed="false">
      <c r="A103" s="31" t="s">
        <v>144</v>
      </c>
      <c r="B103" s="39" t="n">
        <v>-1</v>
      </c>
      <c r="C103" s="4"/>
      <c r="D103" s="8" t="str">
        <f aca="false">IF(C103="Sí",$D$77*B103,"")</f>
        <v/>
      </c>
    </row>
    <row r="104" customFormat="false" ht="15.75" hidden="false" customHeight="true" outlineLevel="0" collapsed="false">
      <c r="A104" s="31" t="s">
        <v>145</v>
      </c>
      <c r="B104" s="39" t="n">
        <v>-1</v>
      </c>
      <c r="C104" s="4"/>
      <c r="D104" s="8" t="str">
        <f aca="false">IF(C104="Sí",$D$77*B104,"")</f>
        <v/>
      </c>
    </row>
    <row r="105" customFormat="false" ht="15.75" hidden="false" customHeight="true" outlineLevel="0" collapsed="false">
      <c r="A105" s="31" t="s">
        <v>146</v>
      </c>
      <c r="B105" s="39" t="n">
        <v>-1</v>
      </c>
      <c r="C105" s="4"/>
      <c r="D105" s="8" t="str">
        <f aca="false">IF(C105="Sí",$D$77*B105,"")</f>
        <v/>
      </c>
    </row>
    <row r="106" customFormat="false" ht="15.75" hidden="false" customHeight="true" outlineLevel="0" collapsed="false">
      <c r="A106" s="34" t="s">
        <v>147</v>
      </c>
      <c r="B106" s="36"/>
      <c r="C106" s="36"/>
      <c r="D106" s="16" t="str">
        <f aca="false">IF(SUM(D90:D105)=0,"",SUM(D90:D105))</f>
        <v/>
      </c>
    </row>
    <row r="107" customFormat="false" ht="1.5" hidden="false" customHeight="true" outlineLevel="0" collapsed="false">
      <c r="A107" s="18"/>
      <c r="B107" s="18"/>
      <c r="C107" s="18"/>
      <c r="D107" s="18"/>
    </row>
    <row r="108" customFormat="false" ht="21.75" hidden="false" customHeight="true" outlineLevel="0" collapsed="false">
      <c r="A108" s="40" t="s">
        <v>148</v>
      </c>
      <c r="B108" s="41"/>
      <c r="C108" s="41"/>
      <c r="D108" s="42" t="e">
        <f aca="false">IF(MAX(0,ROUND($D$77+$D$106,2))=0,"",MAX(0,ROUND($D$77+$D$106,2)))</f>
        <v>#VALUE!</v>
      </c>
    </row>
    <row r="109" customFormat="false" ht="1.5" hidden="false" customHeight="true" outlineLevel="0" collapsed="false">
      <c r="A109" s="18"/>
      <c r="B109" s="18"/>
      <c r="C109" s="18"/>
      <c r="D109" s="18"/>
    </row>
    <row r="110" customFormat="false" ht="15.75" hidden="false" customHeight="true" outlineLevel="0" collapsed="false">
      <c r="A110" s="43" t="s">
        <v>149</v>
      </c>
      <c r="B110" s="18"/>
      <c r="C110" s="18"/>
      <c r="D110" s="18"/>
    </row>
    <row r="111" customFormat="false" ht="18" hidden="false" customHeight="true" outlineLevel="0" collapsed="false">
      <c r="A111" s="37"/>
      <c r="B111" s="37"/>
      <c r="C111" s="37"/>
      <c r="D111" s="37"/>
    </row>
    <row r="112" customFormat="false" ht="18" hidden="false" customHeight="true" outlineLevel="0" collapsed="false">
      <c r="A112" s="37"/>
      <c r="B112" s="37"/>
      <c r="C112" s="37"/>
      <c r="D112" s="37"/>
    </row>
    <row r="113" customFormat="false" ht="3" hidden="false" customHeight="true" outlineLevel="0" collapsed="false">
      <c r="A113" s="18"/>
      <c r="B113" s="18"/>
      <c r="C113" s="18"/>
      <c r="D113" s="18"/>
    </row>
    <row r="114" customFormat="false" ht="12" hidden="false" customHeight="true" outlineLevel="0" collapsed="false">
      <c r="A114" s="18"/>
      <c r="B114" s="18"/>
      <c r="C114" s="18"/>
      <c r="D114" s="18"/>
    </row>
    <row r="115" customFormat="false" ht="8.25" hidden="false" customHeight="true" outlineLevel="0" collapsed="false">
      <c r="A115" s="44" t="s">
        <v>150</v>
      </c>
      <c r="B115" s="18"/>
      <c r="C115" s="44" t="s">
        <v>150</v>
      </c>
      <c r="D115" s="18"/>
    </row>
    <row r="116" customFormat="false" ht="13.5" hidden="false" customHeight="true" outlineLevel="0" collapsed="false">
      <c r="A116" s="44" t="s">
        <v>151</v>
      </c>
      <c r="B116" s="18"/>
      <c r="C116" s="44" t="s">
        <v>152</v>
      </c>
      <c r="D116" s="18"/>
    </row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</sheetData>
  <mergeCells count="8">
    <mergeCell ref="A8:D8"/>
    <mergeCell ref="A10:B10"/>
    <mergeCell ref="C10:D10"/>
    <mergeCell ref="A11:B11"/>
    <mergeCell ref="C11:D11"/>
    <mergeCell ref="A12:B12"/>
    <mergeCell ref="A111:D111"/>
    <mergeCell ref="A112:D112"/>
  </mergeCells>
  <conditionalFormatting sqref="D15:D76">
    <cfRule type="cellIs" priority="2" operator="greaterThan" aboveAverage="0" equalAverage="0" bottom="0" percent="0" rank="0" text="" dxfId="10">
      <formula>B15</formula>
    </cfRule>
  </conditionalFormatting>
  <dataValidations count="1">
    <dataValidation allowBlank="true" errorStyle="stop" operator="equal" showDropDown="false" showErrorMessage="false" showInputMessage="false" sqref="B81:B86 C90:C105" type="list">
      <formula1>"Sí,No"</formula1>
      <formula2>0</formula2>
    </dataValidation>
  </dataValidations>
  <printOptions headings="false" gridLines="false" gridLinesSet="true" horizontalCentered="true" verticalCentered="false"/>
  <pageMargins left="0.39375" right="0.39375" top="0.196527777777778" bottom="0.196527777777778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86"/>
  <sheetViews>
    <sheetView showFormulas="false" showGridLines="false" showRowColHeaders="true" showZeros="true" rightToLeft="false" tabSelected="false" showOutlineSymbols="true" defaultGridColor="true" view="normal" topLeftCell="A73" colorId="64" zoomScale="100" zoomScaleNormal="100" zoomScalePageLayoutView="100" workbookViewId="0">
      <selection pane="topLeft" activeCell="C11" activeCellId="0" sqref="C1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87.43"/>
    <col collapsed="false" customWidth="true" hidden="false" outlineLevel="0" max="2" min="2" style="1" width="11"/>
    <col collapsed="false" customWidth="true" hidden="false" outlineLevel="0" max="3" min="3" style="1" width="34"/>
    <col collapsed="false" customWidth="true" hidden="false" outlineLevel="0" max="4" min="4" style="1" width="11"/>
    <col collapsed="false" customWidth="true" hidden="false" outlineLevel="0" max="26" min="5" style="1" width="8.71"/>
  </cols>
  <sheetData>
    <row r="1" customFormat="false" ht="13.8" hidden="false" customHeight="false" outlineLevel="0" collapsed="false">
      <c r="A1" s="17" t="s">
        <v>41</v>
      </c>
      <c r="B1" s="18"/>
      <c r="C1" s="18"/>
      <c r="D1" s="18"/>
    </row>
    <row r="2" customFormat="false" ht="13.8" hidden="false" customHeight="false" outlineLevel="0" collapsed="false">
      <c r="A2" s="17" t="s">
        <v>42</v>
      </c>
      <c r="B2" s="18"/>
      <c r="C2" s="18"/>
      <c r="D2" s="18"/>
    </row>
    <row r="3" customFormat="false" ht="13.8" hidden="false" customHeight="false" outlineLevel="0" collapsed="false">
      <c r="A3" s="17" t="s">
        <v>43</v>
      </c>
      <c r="B3" s="18"/>
      <c r="C3" s="18"/>
      <c r="D3" s="18"/>
    </row>
    <row r="4" customFormat="false" ht="13.8" hidden="false" customHeight="false" outlineLevel="0" collapsed="false">
      <c r="A4" s="17" t="s">
        <v>44</v>
      </c>
      <c r="B4" s="18"/>
      <c r="C4" s="18"/>
      <c r="D4" s="18"/>
    </row>
    <row r="5" customFormat="false" ht="13.8" hidden="false" customHeight="false" outlineLevel="0" collapsed="false">
      <c r="A5" s="17" t="s">
        <v>45</v>
      </c>
      <c r="B5" s="18"/>
      <c r="C5" s="18"/>
      <c r="D5" s="18"/>
    </row>
    <row r="6" customFormat="false" ht="13.8" hidden="false" customHeight="false" outlineLevel="0" collapsed="false">
      <c r="A6" s="17" t="s">
        <v>46</v>
      </c>
      <c r="B6" s="18"/>
      <c r="C6" s="18"/>
      <c r="D6" s="18"/>
    </row>
    <row r="7" customFormat="false" ht="13.8" hidden="false" customHeight="false" outlineLevel="0" collapsed="false">
      <c r="A7" s="17"/>
      <c r="B7" s="18"/>
      <c r="C7" s="18"/>
      <c r="D7" s="18"/>
    </row>
    <row r="8" customFormat="false" ht="13.8" hidden="false" customHeight="false" outlineLevel="0" collapsed="false">
      <c r="A8" s="19" t="s">
        <v>47</v>
      </c>
      <c r="B8" s="19"/>
      <c r="C8" s="19"/>
      <c r="D8" s="19"/>
    </row>
    <row r="9" customFormat="false" ht="13.8" hidden="false" customHeight="false" outlineLevel="0" collapsed="false">
      <c r="A9" s="20"/>
      <c r="B9" s="20"/>
      <c r="C9" s="20"/>
      <c r="D9" s="20"/>
    </row>
    <row r="10" customFormat="false" ht="13.8" hidden="false" customHeight="false" outlineLevel="0" collapsed="false">
      <c r="A10" s="21" t="s">
        <v>48</v>
      </c>
      <c r="B10" s="21"/>
      <c r="C10" s="22" t="n">
        <v>46282</v>
      </c>
      <c r="D10" s="22"/>
    </row>
    <row r="11" customFormat="false" ht="13.8" hidden="false" customHeight="false" outlineLevel="0" collapsed="false">
      <c r="A11" s="21" t="s">
        <v>49</v>
      </c>
      <c r="B11" s="21"/>
      <c r="C11" s="23" t="str">
        <f aca="false">VLOOKUP(C12, Consolidado!$B$3:$C$26, 2, 0)</f>
        <v>FRANCISCO JAVIER CHIVICHÓN FERNÁNDEZ</v>
      </c>
      <c r="D11" s="23"/>
    </row>
    <row r="12" customFormat="false" ht="13.8" hidden="false" customHeight="false" outlineLevel="0" collapsed="false">
      <c r="A12" s="21" t="s">
        <v>50</v>
      </c>
      <c r="B12" s="21"/>
      <c r="C12" s="23" t="n">
        <v>202502481</v>
      </c>
      <c r="D12" s="23"/>
    </row>
    <row r="13" customFormat="false" ht="13.8" hidden="false" customHeight="false" outlineLevel="0" collapsed="false">
      <c r="A13" s="18"/>
      <c r="B13" s="18"/>
      <c r="C13" s="18"/>
      <c r="D13" s="18"/>
    </row>
    <row r="14" customFormat="false" ht="19.5" hidden="false" customHeight="true" outlineLevel="0" collapsed="false">
      <c r="A14" s="24" t="s">
        <v>51</v>
      </c>
      <c r="B14" s="24" t="s">
        <v>52</v>
      </c>
      <c r="C14" s="24" t="s">
        <v>53</v>
      </c>
      <c r="D14" s="24" t="s">
        <v>54</v>
      </c>
    </row>
    <row r="15" customFormat="false" ht="19.5" hidden="false" customHeight="true" outlineLevel="0" collapsed="false">
      <c r="A15" s="25" t="s">
        <v>55</v>
      </c>
      <c r="B15" s="26" t="n">
        <f aca="false">B16+B21+B25</f>
        <v>20</v>
      </c>
      <c r="C15" s="25"/>
      <c r="D15" s="27" t="str">
        <f aca="false">IF(D16+D21+D25=0,"",D16+D21+D25)</f>
        <v/>
      </c>
    </row>
    <row r="16" customFormat="false" ht="18" hidden="false" customHeight="true" outlineLevel="0" collapsed="false">
      <c r="A16" s="28" t="s">
        <v>56</v>
      </c>
      <c r="B16" s="29" t="n">
        <f aca="false">SUM(B17:B20)</f>
        <v>8</v>
      </c>
      <c r="C16" s="28"/>
      <c r="D16" s="30" t="n">
        <f aca="false">SUM(D17:D20)</f>
        <v>0</v>
      </c>
    </row>
    <row r="17" customFormat="false" ht="15" hidden="false" customHeight="true" outlineLevel="0" collapsed="false">
      <c r="A17" s="31" t="s">
        <v>57</v>
      </c>
      <c r="B17" s="32" t="n">
        <v>2</v>
      </c>
      <c r="C17" s="31"/>
      <c r="D17" s="33"/>
    </row>
    <row r="18" customFormat="false" ht="15" hidden="false" customHeight="true" outlineLevel="0" collapsed="false">
      <c r="A18" s="31" t="s">
        <v>58</v>
      </c>
      <c r="B18" s="32" t="n">
        <v>2</v>
      </c>
      <c r="C18" s="31"/>
      <c r="D18" s="33"/>
    </row>
    <row r="19" customFormat="false" ht="15" hidden="false" customHeight="true" outlineLevel="0" collapsed="false">
      <c r="A19" s="31" t="s">
        <v>59</v>
      </c>
      <c r="B19" s="32" t="n">
        <v>2</v>
      </c>
      <c r="C19" s="31"/>
      <c r="D19" s="33"/>
    </row>
    <row r="20" customFormat="false" ht="15" hidden="false" customHeight="true" outlineLevel="0" collapsed="false">
      <c r="A20" s="31" t="s">
        <v>60</v>
      </c>
      <c r="B20" s="32" t="n">
        <v>2</v>
      </c>
      <c r="C20" s="31"/>
      <c r="D20" s="33"/>
    </row>
    <row r="21" customFormat="false" ht="18" hidden="false" customHeight="true" outlineLevel="0" collapsed="false">
      <c r="A21" s="28" t="s">
        <v>61</v>
      </c>
      <c r="B21" s="29" t="n">
        <f aca="false">SUM(B22:B24)</f>
        <v>6</v>
      </c>
      <c r="C21" s="28"/>
      <c r="D21" s="30" t="n">
        <f aca="false">SUM(D22:D24)</f>
        <v>0</v>
      </c>
    </row>
    <row r="22" customFormat="false" ht="15" hidden="false" customHeight="true" outlineLevel="0" collapsed="false">
      <c r="A22" s="31" t="s">
        <v>62</v>
      </c>
      <c r="B22" s="32" t="n">
        <v>2</v>
      </c>
      <c r="C22" s="31"/>
      <c r="D22" s="33"/>
    </row>
    <row r="23" customFormat="false" ht="15" hidden="false" customHeight="true" outlineLevel="0" collapsed="false">
      <c r="A23" s="31" t="s">
        <v>63</v>
      </c>
      <c r="B23" s="32" t="n">
        <v>2</v>
      </c>
      <c r="C23" s="31"/>
      <c r="D23" s="33"/>
    </row>
    <row r="24" customFormat="false" ht="15" hidden="false" customHeight="true" outlineLevel="0" collapsed="false">
      <c r="A24" s="31" t="s">
        <v>64</v>
      </c>
      <c r="B24" s="32" t="n">
        <v>2</v>
      </c>
      <c r="C24" s="31"/>
      <c r="D24" s="33"/>
    </row>
    <row r="25" customFormat="false" ht="18" hidden="false" customHeight="true" outlineLevel="0" collapsed="false">
      <c r="A25" s="28" t="s">
        <v>65</v>
      </c>
      <c r="B25" s="29" t="n">
        <f aca="false">SUM(B26:B28)</f>
        <v>6</v>
      </c>
      <c r="C25" s="28"/>
      <c r="D25" s="30" t="n">
        <f aca="false">SUM(D26:D28)</f>
        <v>0</v>
      </c>
    </row>
    <row r="26" customFormat="false" ht="16.5" hidden="false" customHeight="true" outlineLevel="0" collapsed="false">
      <c r="A26" s="31" t="s">
        <v>66</v>
      </c>
      <c r="B26" s="32" t="n">
        <v>2</v>
      </c>
      <c r="C26" s="31"/>
      <c r="D26" s="33"/>
    </row>
    <row r="27" customFormat="false" ht="15" hidden="false" customHeight="true" outlineLevel="0" collapsed="false">
      <c r="A27" s="31" t="s">
        <v>67</v>
      </c>
      <c r="B27" s="32" t="n">
        <v>2</v>
      </c>
      <c r="C27" s="31"/>
      <c r="D27" s="33"/>
    </row>
    <row r="28" customFormat="false" ht="15" hidden="false" customHeight="true" outlineLevel="0" collapsed="false">
      <c r="A28" s="31" t="s">
        <v>68</v>
      </c>
      <c r="B28" s="32" t="n">
        <v>2</v>
      </c>
      <c r="C28" s="31"/>
      <c r="D28" s="33"/>
    </row>
    <row r="29" customFormat="false" ht="19.5" hidden="false" customHeight="true" outlineLevel="0" collapsed="false">
      <c r="A29" s="25" t="s">
        <v>69</v>
      </c>
      <c r="B29" s="26" t="n">
        <f aca="false">B30+B34+B40+B44+B49+B53+B58+B63</f>
        <v>55</v>
      </c>
      <c r="C29" s="25"/>
      <c r="D29" s="27" t="str">
        <f aca="false">IF(D30+D34+D40+D44+D49+D53+D58+D63=0,"",D30+D34+D40+D44+D49+D53+D58+D63)</f>
        <v/>
      </c>
    </row>
    <row r="30" customFormat="false" ht="18" hidden="false" customHeight="true" outlineLevel="0" collapsed="false">
      <c r="A30" s="28" t="s">
        <v>70</v>
      </c>
      <c r="B30" s="29" t="n">
        <f aca="false">SUM(B31:B33)</f>
        <v>5</v>
      </c>
      <c r="C30" s="28"/>
      <c r="D30" s="30" t="n">
        <f aca="false">SUM(D31:D33)</f>
        <v>0</v>
      </c>
    </row>
    <row r="31" customFormat="false" ht="15" hidden="false" customHeight="true" outlineLevel="0" collapsed="false">
      <c r="A31" s="31" t="s">
        <v>71</v>
      </c>
      <c r="B31" s="32" t="n">
        <v>2</v>
      </c>
      <c r="C31" s="31"/>
      <c r="D31" s="33"/>
    </row>
    <row r="32" customFormat="false" ht="15" hidden="false" customHeight="true" outlineLevel="0" collapsed="false">
      <c r="A32" s="31" t="s">
        <v>72</v>
      </c>
      <c r="B32" s="32" t="n">
        <v>2</v>
      </c>
      <c r="C32" s="31"/>
      <c r="D32" s="33"/>
    </row>
    <row r="33" customFormat="false" ht="15" hidden="false" customHeight="true" outlineLevel="0" collapsed="false">
      <c r="A33" s="31" t="s">
        <v>73</v>
      </c>
      <c r="B33" s="32" t="n">
        <v>1</v>
      </c>
      <c r="C33" s="31"/>
      <c r="D33" s="33"/>
    </row>
    <row r="34" customFormat="false" ht="18" hidden="false" customHeight="true" outlineLevel="0" collapsed="false">
      <c r="A34" s="28" t="s">
        <v>74</v>
      </c>
      <c r="B34" s="29" t="n">
        <f aca="false">SUM(B35:B39)</f>
        <v>10</v>
      </c>
      <c r="C34" s="28"/>
      <c r="D34" s="30" t="n">
        <f aca="false">SUM(D35:D39)</f>
        <v>0</v>
      </c>
    </row>
    <row r="35" customFormat="false" ht="15" hidden="false" customHeight="true" outlineLevel="0" collapsed="false">
      <c r="A35" s="31" t="s">
        <v>75</v>
      </c>
      <c r="B35" s="32" t="n">
        <v>3</v>
      </c>
      <c r="C35" s="31"/>
      <c r="D35" s="33"/>
    </row>
    <row r="36" customFormat="false" ht="15" hidden="false" customHeight="true" outlineLevel="0" collapsed="false">
      <c r="A36" s="31" t="s">
        <v>76</v>
      </c>
      <c r="B36" s="32" t="n">
        <v>2</v>
      </c>
      <c r="C36" s="31"/>
      <c r="D36" s="33"/>
    </row>
    <row r="37" customFormat="false" ht="15" hidden="false" customHeight="true" outlineLevel="0" collapsed="false">
      <c r="A37" s="31" t="s">
        <v>77</v>
      </c>
      <c r="B37" s="32" t="n">
        <v>2</v>
      </c>
      <c r="C37" s="31"/>
      <c r="D37" s="33"/>
    </row>
    <row r="38" customFormat="false" ht="15" hidden="false" customHeight="true" outlineLevel="0" collapsed="false">
      <c r="A38" s="31" t="s">
        <v>78</v>
      </c>
      <c r="B38" s="32" t="n">
        <v>1</v>
      </c>
      <c r="C38" s="31"/>
      <c r="D38" s="33"/>
    </row>
    <row r="39" customFormat="false" ht="15" hidden="false" customHeight="true" outlineLevel="0" collapsed="false">
      <c r="A39" s="31" t="s">
        <v>79</v>
      </c>
      <c r="B39" s="32" t="n">
        <v>2</v>
      </c>
      <c r="C39" s="31"/>
      <c r="D39" s="33"/>
    </row>
    <row r="40" customFormat="false" ht="18" hidden="false" customHeight="true" outlineLevel="0" collapsed="false">
      <c r="A40" s="28" t="s">
        <v>80</v>
      </c>
      <c r="B40" s="29" t="n">
        <f aca="false">SUM(B41:B43)</f>
        <v>6</v>
      </c>
      <c r="C40" s="28"/>
      <c r="D40" s="30" t="n">
        <f aca="false">SUM(D41:D43)</f>
        <v>0</v>
      </c>
    </row>
    <row r="41" customFormat="false" ht="15" hidden="false" customHeight="true" outlineLevel="0" collapsed="false">
      <c r="A41" s="31" t="s">
        <v>81</v>
      </c>
      <c r="B41" s="32" t="n">
        <v>2</v>
      </c>
      <c r="C41" s="31"/>
      <c r="D41" s="33"/>
    </row>
    <row r="42" customFormat="false" ht="15" hidden="false" customHeight="true" outlineLevel="0" collapsed="false">
      <c r="A42" s="31" t="s">
        <v>82</v>
      </c>
      <c r="B42" s="32" t="n">
        <v>2</v>
      </c>
      <c r="C42" s="31"/>
      <c r="D42" s="33"/>
    </row>
    <row r="43" customFormat="false" ht="15" hidden="false" customHeight="true" outlineLevel="0" collapsed="false">
      <c r="A43" s="31" t="s">
        <v>83</v>
      </c>
      <c r="B43" s="32" t="n">
        <v>2</v>
      </c>
      <c r="C43" s="31"/>
      <c r="D43" s="33"/>
    </row>
    <row r="44" customFormat="false" ht="18" hidden="false" customHeight="true" outlineLevel="0" collapsed="false">
      <c r="A44" s="28" t="s">
        <v>84</v>
      </c>
      <c r="B44" s="29" t="n">
        <f aca="false">SUM(B45:B48)</f>
        <v>8</v>
      </c>
      <c r="C44" s="28"/>
      <c r="D44" s="30" t="n">
        <f aca="false">SUM(D45:D48)</f>
        <v>0</v>
      </c>
    </row>
    <row r="45" customFormat="false" ht="15" hidden="false" customHeight="true" outlineLevel="0" collapsed="false">
      <c r="A45" s="31" t="s">
        <v>85</v>
      </c>
      <c r="B45" s="32" t="n">
        <v>2</v>
      </c>
      <c r="C45" s="31"/>
      <c r="D45" s="33"/>
    </row>
    <row r="46" customFormat="false" ht="15" hidden="false" customHeight="true" outlineLevel="0" collapsed="false">
      <c r="A46" s="31" t="s">
        <v>86</v>
      </c>
      <c r="B46" s="32" t="n">
        <v>3</v>
      </c>
      <c r="C46" s="31"/>
      <c r="D46" s="33"/>
    </row>
    <row r="47" customFormat="false" ht="15" hidden="false" customHeight="true" outlineLevel="0" collapsed="false">
      <c r="A47" s="31" t="s">
        <v>87</v>
      </c>
      <c r="B47" s="32" t="n">
        <v>2</v>
      </c>
      <c r="C47" s="31"/>
      <c r="D47" s="33"/>
    </row>
    <row r="48" customFormat="false" ht="15" hidden="false" customHeight="true" outlineLevel="0" collapsed="false">
      <c r="A48" s="31" t="s">
        <v>88</v>
      </c>
      <c r="B48" s="32" t="n">
        <v>1</v>
      </c>
      <c r="C48" s="31"/>
      <c r="D48" s="33"/>
    </row>
    <row r="49" customFormat="false" ht="18" hidden="false" customHeight="true" outlineLevel="0" collapsed="false">
      <c r="A49" s="28" t="s">
        <v>89</v>
      </c>
      <c r="B49" s="29" t="n">
        <f aca="false">SUM(B50:B52)</f>
        <v>6</v>
      </c>
      <c r="C49" s="28"/>
      <c r="D49" s="30" t="n">
        <f aca="false">SUM(D50:D52)</f>
        <v>0</v>
      </c>
    </row>
    <row r="50" customFormat="false" ht="15" hidden="false" customHeight="true" outlineLevel="0" collapsed="false">
      <c r="A50" s="31" t="s">
        <v>90</v>
      </c>
      <c r="B50" s="32" t="n">
        <v>2</v>
      </c>
      <c r="C50" s="31"/>
      <c r="D50" s="33"/>
    </row>
    <row r="51" customFormat="false" ht="15" hidden="false" customHeight="true" outlineLevel="0" collapsed="false">
      <c r="A51" s="31" t="s">
        <v>91</v>
      </c>
      <c r="B51" s="32" t="n">
        <v>2</v>
      </c>
      <c r="C51" s="31"/>
      <c r="D51" s="33"/>
    </row>
    <row r="52" customFormat="false" ht="15" hidden="false" customHeight="true" outlineLevel="0" collapsed="false">
      <c r="A52" s="31" t="s">
        <v>92</v>
      </c>
      <c r="B52" s="32" t="n">
        <v>2</v>
      </c>
      <c r="C52" s="31"/>
      <c r="D52" s="33"/>
    </row>
    <row r="53" customFormat="false" ht="18" hidden="false" customHeight="true" outlineLevel="0" collapsed="false">
      <c r="A53" s="28" t="s">
        <v>93</v>
      </c>
      <c r="B53" s="29" t="n">
        <f aca="false">SUM(B54:B57)</f>
        <v>8</v>
      </c>
      <c r="C53" s="28"/>
      <c r="D53" s="30" t="n">
        <f aca="false">SUM(D54:D57)</f>
        <v>0</v>
      </c>
    </row>
    <row r="54" customFormat="false" ht="15" hidden="false" customHeight="true" outlineLevel="0" collapsed="false">
      <c r="A54" s="31" t="s">
        <v>94</v>
      </c>
      <c r="B54" s="32" t="n">
        <v>2</v>
      </c>
      <c r="C54" s="31"/>
      <c r="D54" s="33"/>
    </row>
    <row r="55" customFormat="false" ht="15" hidden="false" customHeight="true" outlineLevel="0" collapsed="false">
      <c r="A55" s="31" t="s">
        <v>95</v>
      </c>
      <c r="B55" s="32" t="n">
        <v>3</v>
      </c>
      <c r="C55" s="31"/>
      <c r="D55" s="33"/>
    </row>
    <row r="56" customFormat="false" ht="15" hidden="false" customHeight="true" outlineLevel="0" collapsed="false">
      <c r="A56" s="31" t="s">
        <v>96</v>
      </c>
      <c r="B56" s="32" t="n">
        <v>2</v>
      </c>
      <c r="C56" s="31"/>
      <c r="D56" s="33"/>
    </row>
    <row r="57" customFormat="false" ht="15" hidden="false" customHeight="true" outlineLevel="0" collapsed="false">
      <c r="A57" s="31" t="s">
        <v>97</v>
      </c>
      <c r="B57" s="32" t="n">
        <v>1</v>
      </c>
      <c r="C57" s="31"/>
      <c r="D57" s="33"/>
    </row>
    <row r="58" customFormat="false" ht="18" hidden="false" customHeight="true" outlineLevel="0" collapsed="false">
      <c r="A58" s="28" t="s">
        <v>98</v>
      </c>
      <c r="B58" s="29" t="n">
        <f aca="false">SUM(B59:B62)</f>
        <v>6</v>
      </c>
      <c r="C58" s="28"/>
      <c r="D58" s="30" t="n">
        <f aca="false">SUM(D59:D62)</f>
        <v>0</v>
      </c>
    </row>
    <row r="59" customFormat="false" ht="15" hidden="false" customHeight="true" outlineLevel="0" collapsed="false">
      <c r="A59" s="31" t="s">
        <v>99</v>
      </c>
      <c r="B59" s="32" t="n">
        <v>2</v>
      </c>
      <c r="C59" s="31"/>
      <c r="D59" s="33"/>
    </row>
    <row r="60" customFormat="false" ht="15" hidden="false" customHeight="true" outlineLevel="0" collapsed="false">
      <c r="A60" s="31" t="s">
        <v>100</v>
      </c>
      <c r="B60" s="32" t="n">
        <v>2</v>
      </c>
      <c r="C60" s="31"/>
      <c r="D60" s="33"/>
    </row>
    <row r="61" customFormat="false" ht="15" hidden="false" customHeight="true" outlineLevel="0" collapsed="false">
      <c r="A61" s="31" t="s">
        <v>101</v>
      </c>
      <c r="B61" s="32" t="n">
        <v>1</v>
      </c>
      <c r="C61" s="31"/>
      <c r="D61" s="33"/>
    </row>
    <row r="62" customFormat="false" ht="15" hidden="false" customHeight="true" outlineLevel="0" collapsed="false">
      <c r="A62" s="31" t="s">
        <v>102</v>
      </c>
      <c r="B62" s="32" t="n">
        <v>1</v>
      </c>
      <c r="C62" s="31"/>
      <c r="D62" s="33"/>
    </row>
    <row r="63" customFormat="false" ht="15" hidden="false" customHeight="true" outlineLevel="0" collapsed="false">
      <c r="A63" s="28" t="s">
        <v>103</v>
      </c>
      <c r="B63" s="29" t="n">
        <f aca="false">SUM(B64:B65)</f>
        <v>6</v>
      </c>
      <c r="C63" s="28"/>
      <c r="D63" s="30" t="n">
        <f aca="false">SUM(D64:D65)</f>
        <v>0</v>
      </c>
    </row>
    <row r="64" customFormat="false" ht="15" hidden="false" customHeight="true" outlineLevel="0" collapsed="false">
      <c r="A64" s="31" t="s">
        <v>104</v>
      </c>
      <c r="B64" s="32" t="n">
        <v>3</v>
      </c>
      <c r="C64" s="31"/>
      <c r="D64" s="33"/>
    </row>
    <row r="65" customFormat="false" ht="15" hidden="false" customHeight="true" outlineLevel="0" collapsed="false">
      <c r="A65" s="31" t="s">
        <v>105</v>
      </c>
      <c r="B65" s="32" t="n">
        <v>3</v>
      </c>
      <c r="C65" s="31"/>
      <c r="D65" s="33"/>
    </row>
    <row r="66" customFormat="false" ht="19.5" hidden="false" customHeight="true" outlineLevel="0" collapsed="false">
      <c r="A66" s="25" t="s">
        <v>106</v>
      </c>
      <c r="B66" s="26" t="n">
        <f aca="false">B67+B73</f>
        <v>25</v>
      </c>
      <c r="C66" s="25"/>
      <c r="D66" s="27" t="str">
        <f aca="false">IF(D67+D73=0,"",D67+D73)</f>
        <v/>
      </c>
    </row>
    <row r="67" customFormat="false" ht="18" hidden="false" customHeight="true" outlineLevel="0" collapsed="false">
      <c r="A67" s="28" t="s">
        <v>107</v>
      </c>
      <c r="B67" s="29" t="n">
        <f aca="false">SUM(B68:B72)</f>
        <v>10</v>
      </c>
      <c r="C67" s="28"/>
      <c r="D67" s="30" t="n">
        <f aca="false">SUM(D68:D72)</f>
        <v>0</v>
      </c>
    </row>
    <row r="68" customFormat="false" ht="15" hidden="false" customHeight="true" outlineLevel="0" collapsed="false">
      <c r="A68" s="31" t="s">
        <v>108</v>
      </c>
      <c r="B68" s="32" t="n">
        <v>2</v>
      </c>
      <c r="C68" s="31"/>
      <c r="D68" s="33"/>
    </row>
    <row r="69" customFormat="false" ht="15" hidden="false" customHeight="true" outlineLevel="0" collapsed="false">
      <c r="A69" s="31" t="s">
        <v>109</v>
      </c>
      <c r="B69" s="32" t="n">
        <v>2</v>
      </c>
      <c r="C69" s="31"/>
      <c r="D69" s="33"/>
    </row>
    <row r="70" customFormat="false" ht="15" hidden="false" customHeight="true" outlineLevel="0" collapsed="false">
      <c r="A70" s="31" t="s">
        <v>110</v>
      </c>
      <c r="B70" s="32" t="n">
        <v>2</v>
      </c>
      <c r="C70" s="31"/>
      <c r="D70" s="33"/>
    </row>
    <row r="71" customFormat="false" ht="15" hidden="false" customHeight="true" outlineLevel="0" collapsed="false">
      <c r="A71" s="31" t="s">
        <v>111</v>
      </c>
      <c r="B71" s="32" t="n">
        <v>2</v>
      </c>
      <c r="C71" s="31"/>
      <c r="D71" s="33"/>
    </row>
    <row r="72" customFormat="false" ht="15" hidden="false" customHeight="true" outlineLevel="0" collapsed="false">
      <c r="A72" s="31" t="s">
        <v>112</v>
      </c>
      <c r="B72" s="32" t="n">
        <v>2</v>
      </c>
      <c r="C72" s="31"/>
      <c r="D72" s="33"/>
    </row>
    <row r="73" customFormat="false" ht="18" hidden="false" customHeight="true" outlineLevel="0" collapsed="false">
      <c r="A73" s="28" t="s">
        <v>113</v>
      </c>
      <c r="B73" s="29" t="n">
        <f aca="false">SUM(B74:B76)</f>
        <v>15</v>
      </c>
      <c r="C73" s="28"/>
      <c r="D73" s="30" t="n">
        <f aca="false">SUM(D74:D76)</f>
        <v>0</v>
      </c>
    </row>
    <row r="74" customFormat="false" ht="15" hidden="false" customHeight="true" outlineLevel="0" collapsed="false">
      <c r="A74" s="31" t="s">
        <v>114</v>
      </c>
      <c r="B74" s="32" t="n">
        <v>5</v>
      </c>
      <c r="C74" s="31"/>
      <c r="D74" s="33"/>
    </row>
    <row r="75" customFormat="false" ht="15" hidden="false" customHeight="true" outlineLevel="0" collapsed="false">
      <c r="A75" s="31" t="s">
        <v>115</v>
      </c>
      <c r="B75" s="32" t="n">
        <v>5</v>
      </c>
      <c r="C75" s="31"/>
      <c r="D75" s="33"/>
    </row>
    <row r="76" customFormat="false" ht="15" hidden="false" customHeight="true" outlineLevel="0" collapsed="false">
      <c r="A76" s="31" t="s">
        <v>116</v>
      </c>
      <c r="B76" s="32" t="n">
        <v>5</v>
      </c>
      <c r="C76" s="31"/>
      <c r="D76" s="33"/>
    </row>
    <row r="77" customFormat="false" ht="19.5" hidden="false" customHeight="true" outlineLevel="0" collapsed="false">
      <c r="A77" s="34" t="s">
        <v>117</v>
      </c>
      <c r="B77" s="35" t="n">
        <f aca="false">B15+B29+B66</f>
        <v>100</v>
      </c>
      <c r="C77" s="36"/>
      <c r="D77" s="16" t="e">
        <f aca="false">IF(D15+D29+D66=0,"",D15+D29+D66)</f>
        <v>#VALUE!</v>
      </c>
    </row>
    <row r="78" customFormat="false" ht="1.5" hidden="false" customHeight="true" outlineLevel="0" collapsed="false">
      <c r="A78" s="18"/>
      <c r="B78" s="18"/>
      <c r="C78" s="18"/>
      <c r="D78" s="18"/>
    </row>
    <row r="79" customFormat="false" ht="15.75" hidden="false" customHeight="true" outlineLevel="0" collapsed="false">
      <c r="A79" s="17" t="s">
        <v>118</v>
      </c>
      <c r="B79" s="18"/>
      <c r="C79" s="18"/>
      <c r="D79" s="18"/>
    </row>
    <row r="80" customFormat="false" ht="15.75" hidden="false" customHeight="true" outlineLevel="0" collapsed="false">
      <c r="A80" s="24" t="s">
        <v>119</v>
      </c>
      <c r="B80" s="24" t="s">
        <v>120</v>
      </c>
      <c r="C80" s="24" t="s">
        <v>53</v>
      </c>
      <c r="D80" s="24"/>
    </row>
    <row r="81" customFormat="false" ht="15.75" hidden="false" customHeight="true" outlineLevel="0" collapsed="false">
      <c r="A81" s="31" t="s">
        <v>121</v>
      </c>
      <c r="B81" s="4"/>
      <c r="C81" s="37"/>
      <c r="D81" s="38"/>
    </row>
    <row r="82" customFormat="false" ht="15.75" hidden="false" customHeight="true" outlineLevel="0" collapsed="false">
      <c r="A82" s="31" t="s">
        <v>122</v>
      </c>
      <c r="B82" s="4"/>
      <c r="C82" s="37"/>
      <c r="D82" s="38"/>
    </row>
    <row r="83" customFormat="false" ht="15.75" hidden="false" customHeight="true" outlineLevel="0" collapsed="false">
      <c r="A83" s="31" t="s">
        <v>123</v>
      </c>
      <c r="B83" s="4"/>
      <c r="C83" s="37"/>
      <c r="D83" s="38"/>
    </row>
    <row r="84" customFormat="false" ht="15.75" hidden="false" customHeight="true" outlineLevel="0" collapsed="false">
      <c r="A84" s="31" t="s">
        <v>124</v>
      </c>
      <c r="B84" s="4"/>
      <c r="C84" s="37"/>
      <c r="D84" s="38"/>
    </row>
    <row r="85" customFormat="false" ht="15.75" hidden="false" customHeight="true" outlineLevel="0" collapsed="false">
      <c r="A85" s="31" t="s">
        <v>125</v>
      </c>
      <c r="B85" s="4"/>
      <c r="C85" s="37"/>
      <c r="D85" s="38"/>
    </row>
    <row r="86" customFormat="false" ht="15.75" hidden="false" customHeight="true" outlineLevel="0" collapsed="false">
      <c r="A86" s="31" t="s">
        <v>126</v>
      </c>
      <c r="B86" s="4"/>
      <c r="C86" s="37"/>
      <c r="D86" s="38"/>
    </row>
    <row r="87" customFormat="false" ht="1.5" hidden="false" customHeight="true" outlineLevel="0" collapsed="false">
      <c r="A87" s="18"/>
      <c r="B87" s="18"/>
      <c r="C87" s="18"/>
      <c r="D87" s="18"/>
    </row>
    <row r="88" customFormat="false" ht="15.75" hidden="false" customHeight="true" outlineLevel="0" collapsed="false">
      <c r="A88" s="17" t="s">
        <v>127</v>
      </c>
      <c r="B88" s="18"/>
      <c r="C88" s="18"/>
      <c r="D88" s="18"/>
    </row>
    <row r="89" customFormat="false" ht="15.75" hidden="false" customHeight="true" outlineLevel="0" collapsed="false">
      <c r="A89" s="24" t="s">
        <v>128</v>
      </c>
      <c r="B89" s="24" t="s">
        <v>8</v>
      </c>
      <c r="C89" s="24" t="s">
        <v>129</v>
      </c>
      <c r="D89" s="24" t="s">
        <v>130</v>
      </c>
    </row>
    <row r="90" customFormat="false" ht="15.75" hidden="false" customHeight="true" outlineLevel="0" collapsed="false">
      <c r="A90" s="31" t="s">
        <v>131</v>
      </c>
      <c r="B90" s="39" t="n">
        <v>-0.3</v>
      </c>
      <c r="C90" s="4"/>
      <c r="D90" s="8" t="str">
        <f aca="false">IF(C90="Sí",$D$77*B90,"")</f>
        <v/>
      </c>
    </row>
    <row r="91" customFormat="false" ht="15.75" hidden="false" customHeight="true" outlineLevel="0" collapsed="false">
      <c r="A91" s="31" t="s">
        <v>132</v>
      </c>
      <c r="B91" s="39" t="n">
        <v>-0.2</v>
      </c>
      <c r="C91" s="4"/>
      <c r="D91" s="8" t="str">
        <f aca="false">IF(C91="Sí",$D$77*B91,"")</f>
        <v/>
      </c>
    </row>
    <row r="92" customFormat="false" ht="15.75" hidden="false" customHeight="true" outlineLevel="0" collapsed="false">
      <c r="A92" s="31" t="s">
        <v>133</v>
      </c>
      <c r="B92" s="39" t="n">
        <v>-1</v>
      </c>
      <c r="C92" s="4"/>
      <c r="D92" s="8" t="str">
        <f aca="false">IF(C92="Sí",$D$77*B92,"")</f>
        <v/>
      </c>
    </row>
    <row r="93" customFormat="false" ht="15.75" hidden="false" customHeight="true" outlineLevel="0" collapsed="false">
      <c r="A93" s="31" t="s">
        <v>134</v>
      </c>
      <c r="B93" s="39" t="n">
        <v>-0.2</v>
      </c>
      <c r="C93" s="4"/>
      <c r="D93" s="8" t="str">
        <f aca="false">IF(C93="Sí",$D$77*B93,"")</f>
        <v/>
      </c>
    </row>
    <row r="94" customFormat="false" ht="15.75" hidden="false" customHeight="true" outlineLevel="0" collapsed="false">
      <c r="A94" s="31" t="s">
        <v>135</v>
      </c>
      <c r="B94" s="39" t="n">
        <v>-1</v>
      </c>
      <c r="C94" s="4"/>
      <c r="D94" s="8" t="str">
        <f aca="false">IF(C94="Sí",$D$77*B94,"")</f>
        <v/>
      </c>
    </row>
    <row r="95" customFormat="false" ht="15.75" hidden="false" customHeight="true" outlineLevel="0" collapsed="false">
      <c r="A95" s="31" t="s">
        <v>136</v>
      </c>
      <c r="B95" s="39" t="n">
        <v>-0.75</v>
      </c>
      <c r="C95" s="4"/>
      <c r="D95" s="8" t="str">
        <f aca="false">IF(C95="Sí",$D$77*B95,"")</f>
        <v/>
      </c>
    </row>
    <row r="96" customFormat="false" ht="15.75" hidden="false" customHeight="true" outlineLevel="0" collapsed="false">
      <c r="A96" s="31" t="s">
        <v>137</v>
      </c>
      <c r="B96" s="39" t="n">
        <v>-0.75</v>
      </c>
      <c r="C96" s="4"/>
      <c r="D96" s="8" t="str">
        <f aca="false">IF(C96="Sí",$D$77*B96,"")</f>
        <v/>
      </c>
    </row>
    <row r="97" customFormat="false" ht="15.75" hidden="false" customHeight="true" outlineLevel="0" collapsed="false">
      <c r="A97" s="31" t="s">
        <v>138</v>
      </c>
      <c r="B97" s="39" t="n">
        <v>-1</v>
      </c>
      <c r="C97" s="4"/>
      <c r="D97" s="8" t="str">
        <f aca="false">IF(C97="Sí",$D$77*B97,"")</f>
        <v/>
      </c>
    </row>
    <row r="98" customFormat="false" ht="15.75" hidden="false" customHeight="true" outlineLevel="0" collapsed="false">
      <c r="A98" s="31" t="s">
        <v>139</v>
      </c>
      <c r="B98" s="39" t="n">
        <v>-0.5</v>
      </c>
      <c r="C98" s="4"/>
      <c r="D98" s="8" t="str">
        <f aca="false">IF(C98="Sí",$D$77*B98,"")</f>
        <v/>
      </c>
    </row>
    <row r="99" customFormat="false" ht="15.75" hidden="false" customHeight="true" outlineLevel="0" collapsed="false">
      <c r="A99" s="31" t="s">
        <v>140</v>
      </c>
      <c r="B99" s="39" t="n">
        <v>-1</v>
      </c>
      <c r="C99" s="4"/>
      <c r="D99" s="8" t="str">
        <f aca="false">IF(C99="Sí",$D$77*B99,"")</f>
        <v/>
      </c>
    </row>
    <row r="100" customFormat="false" ht="15.75" hidden="false" customHeight="true" outlineLevel="0" collapsed="false">
      <c r="A100" s="31" t="s">
        <v>141</v>
      </c>
      <c r="B100" s="39" t="n">
        <v>-1</v>
      </c>
      <c r="C100" s="4"/>
      <c r="D100" s="8" t="str">
        <f aca="false">IF(C100="Sí",$D$77*B100,"")</f>
        <v/>
      </c>
    </row>
    <row r="101" customFormat="false" ht="15.75" hidden="false" customHeight="true" outlineLevel="0" collapsed="false">
      <c r="A101" s="31" t="s">
        <v>142</v>
      </c>
      <c r="B101" s="39" t="n">
        <v>-0.25</v>
      </c>
      <c r="C101" s="4" t="s">
        <v>153</v>
      </c>
      <c r="D101" s="8" t="e">
        <f aca="false">IF(C101="Sí",$D$77*B101,"")</f>
        <v>#VALUE!</v>
      </c>
    </row>
    <row r="102" customFormat="false" ht="15.75" hidden="false" customHeight="true" outlineLevel="0" collapsed="false">
      <c r="A102" s="31" t="s">
        <v>143</v>
      </c>
      <c r="B102" s="39" t="n">
        <v>-1</v>
      </c>
      <c r="C102" s="4"/>
      <c r="D102" s="8" t="str">
        <f aca="false">IF(C102="Sí",$D$77*B102,"")</f>
        <v/>
      </c>
    </row>
    <row r="103" customFormat="false" ht="15.75" hidden="false" customHeight="true" outlineLevel="0" collapsed="false">
      <c r="A103" s="31" t="s">
        <v>144</v>
      </c>
      <c r="B103" s="39" t="n">
        <v>-1</v>
      </c>
      <c r="C103" s="4"/>
      <c r="D103" s="8" t="str">
        <f aca="false">IF(C103="Sí",$D$77*B103,"")</f>
        <v/>
      </c>
    </row>
    <row r="104" customFormat="false" ht="15.75" hidden="false" customHeight="true" outlineLevel="0" collapsed="false">
      <c r="A104" s="31" t="s">
        <v>145</v>
      </c>
      <c r="B104" s="39" t="n">
        <v>-1</v>
      </c>
      <c r="C104" s="4"/>
      <c r="D104" s="8" t="str">
        <f aca="false">IF(C104="Sí",$D$77*B104,"")</f>
        <v/>
      </c>
    </row>
    <row r="105" customFormat="false" ht="15.75" hidden="false" customHeight="true" outlineLevel="0" collapsed="false">
      <c r="A105" s="31" t="s">
        <v>146</v>
      </c>
      <c r="B105" s="39" t="n">
        <v>-1</v>
      </c>
      <c r="C105" s="4"/>
      <c r="D105" s="8" t="str">
        <f aca="false">IF(C105="Sí",$D$77*B105,"")</f>
        <v/>
      </c>
    </row>
    <row r="106" customFormat="false" ht="15.75" hidden="false" customHeight="true" outlineLevel="0" collapsed="false">
      <c r="A106" s="34" t="s">
        <v>147</v>
      </c>
      <c r="B106" s="36"/>
      <c r="C106" s="36"/>
      <c r="D106" s="16" t="e">
        <f aca="false">IF(SUM(D90:D105)=0,"",SUM(D90:D105))</f>
        <v>#VALUE!</v>
      </c>
    </row>
    <row r="107" customFormat="false" ht="1.5" hidden="false" customHeight="true" outlineLevel="0" collapsed="false">
      <c r="A107" s="18"/>
      <c r="B107" s="18"/>
      <c r="C107" s="18"/>
      <c r="D107" s="18"/>
    </row>
    <row r="108" customFormat="false" ht="21.75" hidden="false" customHeight="true" outlineLevel="0" collapsed="false">
      <c r="A108" s="40" t="s">
        <v>148</v>
      </c>
      <c r="B108" s="41"/>
      <c r="C108" s="41"/>
      <c r="D108" s="42" t="e">
        <f aca="false">IF(MAX(0,ROUND($D$77+$D$106,2))=0,"",MAX(0,ROUND($D$77+$D$106,2)))</f>
        <v>#VALUE!</v>
      </c>
    </row>
    <row r="109" customFormat="false" ht="1.5" hidden="false" customHeight="true" outlineLevel="0" collapsed="false">
      <c r="A109" s="18"/>
      <c r="B109" s="18"/>
      <c r="C109" s="18"/>
      <c r="D109" s="18"/>
    </row>
    <row r="110" customFormat="false" ht="15.75" hidden="false" customHeight="true" outlineLevel="0" collapsed="false">
      <c r="A110" s="43" t="s">
        <v>149</v>
      </c>
      <c r="B110" s="18"/>
      <c r="C110" s="18"/>
      <c r="D110" s="18"/>
    </row>
    <row r="111" customFormat="false" ht="18" hidden="false" customHeight="true" outlineLevel="0" collapsed="false">
      <c r="A111" s="37"/>
      <c r="B111" s="37"/>
      <c r="C111" s="37"/>
      <c r="D111" s="37"/>
    </row>
    <row r="112" customFormat="false" ht="18" hidden="false" customHeight="true" outlineLevel="0" collapsed="false">
      <c r="A112" s="37"/>
      <c r="B112" s="37"/>
      <c r="C112" s="37"/>
      <c r="D112" s="37"/>
    </row>
    <row r="113" customFormat="false" ht="3" hidden="false" customHeight="true" outlineLevel="0" collapsed="false">
      <c r="A113" s="18"/>
      <c r="B113" s="18"/>
      <c r="C113" s="18"/>
      <c r="D113" s="18"/>
    </row>
    <row r="114" customFormat="false" ht="12" hidden="false" customHeight="true" outlineLevel="0" collapsed="false">
      <c r="A114" s="18"/>
      <c r="B114" s="18"/>
      <c r="C114" s="18"/>
      <c r="D114" s="18"/>
    </row>
    <row r="115" customFormat="false" ht="8.25" hidden="false" customHeight="true" outlineLevel="0" collapsed="false">
      <c r="A115" s="44" t="s">
        <v>150</v>
      </c>
      <c r="B115" s="18"/>
      <c r="C115" s="44" t="s">
        <v>150</v>
      </c>
      <c r="D115" s="18"/>
    </row>
    <row r="116" customFormat="false" ht="13.5" hidden="false" customHeight="true" outlineLevel="0" collapsed="false">
      <c r="A116" s="44" t="s">
        <v>151</v>
      </c>
      <c r="B116" s="18"/>
      <c r="C116" s="44" t="s">
        <v>152</v>
      </c>
      <c r="D116" s="18"/>
    </row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</sheetData>
  <mergeCells count="9">
    <mergeCell ref="A8:D8"/>
    <mergeCell ref="A10:B10"/>
    <mergeCell ref="C10:D10"/>
    <mergeCell ref="A11:B11"/>
    <mergeCell ref="C11:D11"/>
    <mergeCell ref="A12:B12"/>
    <mergeCell ref="C12:D12"/>
    <mergeCell ref="A111:D111"/>
    <mergeCell ref="A112:D112"/>
  </mergeCells>
  <conditionalFormatting sqref="D15:D76">
    <cfRule type="cellIs" priority="2" operator="greaterThan" aboveAverage="0" equalAverage="0" bottom="0" percent="0" rank="0" text="" dxfId="10">
      <formula>B15</formula>
    </cfRule>
  </conditionalFormatting>
  <dataValidations count="1">
    <dataValidation allowBlank="true" errorStyle="stop" operator="equal" showDropDown="false" showErrorMessage="false" showInputMessage="false" sqref="B81:B86 C90:C105" type="list">
      <formula1>"Sí,No"</formula1>
      <formula2>0</formula2>
    </dataValidation>
  </dataValidations>
  <printOptions headings="false" gridLines="false" gridLinesSet="true" horizontalCentered="true" verticalCentered="false"/>
  <pageMargins left="0.39375" right="0.39375" top="0.196527777777778" bottom="0.196527777777778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86"/>
  <sheetViews>
    <sheetView showFormulas="false" showGridLines="fals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D58" activeCellId="0" sqref="D58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87.43"/>
    <col collapsed="false" customWidth="true" hidden="false" outlineLevel="0" max="2" min="2" style="1" width="11"/>
    <col collapsed="false" customWidth="true" hidden="false" outlineLevel="0" max="3" min="3" style="1" width="34"/>
    <col collapsed="false" customWidth="true" hidden="false" outlineLevel="0" max="4" min="4" style="1" width="11"/>
    <col collapsed="false" customWidth="true" hidden="false" outlineLevel="0" max="26" min="5" style="1" width="8.71"/>
  </cols>
  <sheetData>
    <row r="1" customFormat="false" ht="13.8" hidden="false" customHeight="false" outlineLevel="0" collapsed="false">
      <c r="A1" s="17" t="s">
        <v>41</v>
      </c>
      <c r="B1" s="18"/>
      <c r="C1" s="18"/>
      <c r="D1" s="18"/>
    </row>
    <row r="2" customFormat="false" ht="13.8" hidden="false" customHeight="false" outlineLevel="0" collapsed="false">
      <c r="A2" s="17" t="s">
        <v>42</v>
      </c>
      <c r="B2" s="18"/>
      <c r="C2" s="18"/>
      <c r="D2" s="18"/>
    </row>
    <row r="3" customFormat="false" ht="13.8" hidden="false" customHeight="false" outlineLevel="0" collapsed="false">
      <c r="A3" s="17" t="s">
        <v>43</v>
      </c>
      <c r="B3" s="18"/>
      <c r="C3" s="18"/>
      <c r="D3" s="18"/>
    </row>
    <row r="4" customFormat="false" ht="13.8" hidden="false" customHeight="false" outlineLevel="0" collapsed="false">
      <c r="A4" s="17" t="s">
        <v>44</v>
      </c>
      <c r="B4" s="18"/>
      <c r="C4" s="18"/>
      <c r="D4" s="18"/>
    </row>
    <row r="5" customFormat="false" ht="13.8" hidden="false" customHeight="false" outlineLevel="0" collapsed="false">
      <c r="A5" s="17" t="s">
        <v>45</v>
      </c>
      <c r="B5" s="18"/>
      <c r="C5" s="18"/>
      <c r="D5" s="18"/>
    </row>
    <row r="6" customFormat="false" ht="13.8" hidden="false" customHeight="false" outlineLevel="0" collapsed="false">
      <c r="A6" s="17" t="s">
        <v>46</v>
      </c>
      <c r="B6" s="18"/>
      <c r="C6" s="18"/>
      <c r="D6" s="18"/>
    </row>
    <row r="7" customFormat="false" ht="13.8" hidden="false" customHeight="false" outlineLevel="0" collapsed="false">
      <c r="A7" s="17"/>
      <c r="B7" s="18"/>
      <c r="C7" s="18"/>
      <c r="D7" s="18"/>
    </row>
    <row r="8" customFormat="false" ht="13.8" hidden="false" customHeight="false" outlineLevel="0" collapsed="false">
      <c r="A8" s="19" t="s">
        <v>47</v>
      </c>
      <c r="B8" s="19"/>
      <c r="C8" s="19"/>
      <c r="D8" s="19"/>
    </row>
    <row r="9" customFormat="false" ht="13.8" hidden="false" customHeight="false" outlineLevel="0" collapsed="false">
      <c r="A9" s="20"/>
      <c r="B9" s="20"/>
      <c r="C9" s="20"/>
      <c r="D9" s="20"/>
    </row>
    <row r="10" customFormat="false" ht="13.8" hidden="false" customHeight="false" outlineLevel="0" collapsed="false">
      <c r="A10" s="21" t="s">
        <v>48</v>
      </c>
      <c r="B10" s="21"/>
      <c r="C10" s="22"/>
      <c r="D10" s="22"/>
    </row>
    <row r="11" customFormat="false" ht="13.8" hidden="false" customHeight="false" outlineLevel="0" collapsed="false">
      <c r="A11" s="21" t="s">
        <v>49</v>
      </c>
      <c r="B11" s="21"/>
      <c r="C11" s="23" t="str">
        <f aca="false">VLOOKUP(C12, Consolidado!$B$3:$C$26, 2, 0)</f>
        <v>CARLOS ANDRÉS HERNÁNDEZ VÁSQUEZ</v>
      </c>
      <c r="D11" s="23"/>
    </row>
    <row r="12" customFormat="false" ht="13.8" hidden="false" customHeight="false" outlineLevel="0" collapsed="false">
      <c r="A12" s="21" t="s">
        <v>50</v>
      </c>
      <c r="B12" s="21"/>
      <c r="C12" s="23" t="n">
        <v>202501470</v>
      </c>
      <c r="D12" s="23"/>
    </row>
    <row r="13" customFormat="false" ht="13.8" hidden="false" customHeight="false" outlineLevel="0" collapsed="false">
      <c r="A13" s="18"/>
      <c r="B13" s="18"/>
      <c r="C13" s="18"/>
      <c r="D13" s="18"/>
    </row>
    <row r="14" customFormat="false" ht="19.5" hidden="false" customHeight="true" outlineLevel="0" collapsed="false">
      <c r="A14" s="24" t="s">
        <v>51</v>
      </c>
      <c r="B14" s="24" t="s">
        <v>52</v>
      </c>
      <c r="C14" s="24" t="s">
        <v>53</v>
      </c>
      <c r="D14" s="24" t="s">
        <v>54</v>
      </c>
    </row>
    <row r="15" customFormat="false" ht="19.5" hidden="false" customHeight="true" outlineLevel="0" collapsed="false">
      <c r="A15" s="25" t="s">
        <v>55</v>
      </c>
      <c r="B15" s="26" t="n">
        <f aca="false">B16+B21+B25</f>
        <v>20</v>
      </c>
      <c r="C15" s="25"/>
      <c r="D15" s="27" t="n">
        <f aca="false">IF(D16+D21+D25=0,"",D16+D21+D25)</f>
        <v>14</v>
      </c>
    </row>
    <row r="16" customFormat="false" ht="18" hidden="false" customHeight="true" outlineLevel="0" collapsed="false">
      <c r="A16" s="28" t="s">
        <v>56</v>
      </c>
      <c r="B16" s="29" t="n">
        <f aca="false">SUM(B17:B20)</f>
        <v>8</v>
      </c>
      <c r="C16" s="28"/>
      <c r="D16" s="30" t="n">
        <f aca="false">IF(SUM(D17:D20)=0,"",SUM(D17:D20))</f>
        <v>3</v>
      </c>
    </row>
    <row r="17" customFormat="false" ht="15" hidden="false" customHeight="true" outlineLevel="0" collapsed="false">
      <c r="A17" s="31" t="s">
        <v>57</v>
      </c>
      <c r="B17" s="32" t="n">
        <v>2</v>
      </c>
      <c r="C17" s="31"/>
      <c r="D17" s="33" t="n">
        <v>2</v>
      </c>
    </row>
    <row r="18" customFormat="false" ht="15" hidden="false" customHeight="true" outlineLevel="0" collapsed="false">
      <c r="A18" s="31" t="s">
        <v>58</v>
      </c>
      <c r="B18" s="32" t="n">
        <v>2</v>
      </c>
      <c r="C18" s="31"/>
      <c r="D18" s="33" t="n">
        <v>1</v>
      </c>
    </row>
    <row r="19" customFormat="false" ht="15" hidden="false" customHeight="true" outlineLevel="0" collapsed="false">
      <c r="A19" s="31" t="s">
        <v>59</v>
      </c>
      <c r="B19" s="32" t="n">
        <v>2</v>
      </c>
      <c r="C19" s="31"/>
      <c r="D19" s="33" t="n">
        <v>0</v>
      </c>
    </row>
    <row r="20" customFormat="false" ht="15" hidden="false" customHeight="true" outlineLevel="0" collapsed="false">
      <c r="A20" s="31" t="s">
        <v>60</v>
      </c>
      <c r="B20" s="32" t="n">
        <v>2</v>
      </c>
      <c r="C20" s="31"/>
      <c r="D20" s="33" t="n">
        <v>0</v>
      </c>
    </row>
    <row r="21" customFormat="false" ht="18" hidden="false" customHeight="true" outlineLevel="0" collapsed="false">
      <c r="A21" s="28" t="s">
        <v>61</v>
      </c>
      <c r="B21" s="29" t="n">
        <f aca="false">SUM(B22:B24)</f>
        <v>6</v>
      </c>
      <c r="C21" s="28"/>
      <c r="D21" s="30" t="n">
        <f aca="false">IF(SUM(D22:D24)=0,"",SUM(D22:D24))</f>
        <v>5</v>
      </c>
    </row>
    <row r="22" customFormat="false" ht="15" hidden="false" customHeight="true" outlineLevel="0" collapsed="false">
      <c r="A22" s="31" t="s">
        <v>62</v>
      </c>
      <c r="B22" s="32" t="n">
        <v>2</v>
      </c>
      <c r="C22" s="31"/>
      <c r="D22" s="33" t="n">
        <v>2</v>
      </c>
    </row>
    <row r="23" customFormat="false" ht="15" hidden="false" customHeight="true" outlineLevel="0" collapsed="false">
      <c r="A23" s="31" t="s">
        <v>63</v>
      </c>
      <c r="B23" s="32" t="n">
        <v>2</v>
      </c>
      <c r="C23" s="31"/>
      <c r="D23" s="33" t="n">
        <v>2</v>
      </c>
    </row>
    <row r="24" customFormat="false" ht="15" hidden="false" customHeight="true" outlineLevel="0" collapsed="false">
      <c r="A24" s="31" t="s">
        <v>64</v>
      </c>
      <c r="B24" s="32" t="n">
        <v>2</v>
      </c>
      <c r="C24" s="31"/>
      <c r="D24" s="33" t="n">
        <v>1</v>
      </c>
    </row>
    <row r="25" customFormat="false" ht="18" hidden="false" customHeight="true" outlineLevel="0" collapsed="false">
      <c r="A25" s="28" t="s">
        <v>65</v>
      </c>
      <c r="B25" s="29" t="n">
        <f aca="false">SUM(B26:B28)</f>
        <v>6</v>
      </c>
      <c r="C25" s="28"/>
      <c r="D25" s="30" t="n">
        <f aca="false">IF(SUM(D26:D28)=0,"",SUM(D26:D28))</f>
        <v>6</v>
      </c>
    </row>
    <row r="26" customFormat="false" ht="16.5" hidden="false" customHeight="true" outlineLevel="0" collapsed="false">
      <c r="A26" s="31" t="s">
        <v>66</v>
      </c>
      <c r="B26" s="32" t="n">
        <v>2</v>
      </c>
      <c r="C26" s="31"/>
      <c r="D26" s="33" t="n">
        <v>2</v>
      </c>
    </row>
    <row r="27" customFormat="false" ht="15" hidden="false" customHeight="true" outlineLevel="0" collapsed="false">
      <c r="A27" s="31" t="s">
        <v>67</v>
      </c>
      <c r="B27" s="32" t="n">
        <v>2</v>
      </c>
      <c r="C27" s="31"/>
      <c r="D27" s="33" t="n">
        <v>2</v>
      </c>
    </row>
    <row r="28" customFormat="false" ht="15" hidden="false" customHeight="true" outlineLevel="0" collapsed="false">
      <c r="A28" s="31" t="s">
        <v>68</v>
      </c>
      <c r="B28" s="32" t="n">
        <v>2</v>
      </c>
      <c r="C28" s="31"/>
      <c r="D28" s="33" t="n">
        <v>2</v>
      </c>
    </row>
    <row r="29" customFormat="false" ht="19.5" hidden="false" customHeight="true" outlineLevel="0" collapsed="false">
      <c r="A29" s="25" t="s">
        <v>69</v>
      </c>
      <c r="B29" s="26" t="n">
        <f aca="false">B30+B34+B40+B44+B49+B53+B58+B63</f>
        <v>55</v>
      </c>
      <c r="C29" s="25"/>
      <c r="D29" s="27" t="n">
        <f aca="false">IF(D30+D34+D40+D44+D49+D53+D58+D63=0,"",D30+D34+D40+D44+D49+D53+D58+D63)</f>
        <v>33</v>
      </c>
    </row>
    <row r="30" customFormat="false" ht="18" hidden="false" customHeight="true" outlineLevel="0" collapsed="false">
      <c r="A30" s="28" t="s">
        <v>70</v>
      </c>
      <c r="B30" s="29" t="n">
        <f aca="false">SUM(B31:B33)</f>
        <v>5</v>
      </c>
      <c r="C30" s="28"/>
      <c r="D30" s="30" t="n">
        <v>5</v>
      </c>
    </row>
    <row r="31" customFormat="false" ht="15" hidden="false" customHeight="true" outlineLevel="0" collapsed="false">
      <c r="A31" s="31" t="s">
        <v>71</v>
      </c>
      <c r="B31" s="32" t="n">
        <v>2</v>
      </c>
      <c r="C31" s="31"/>
      <c r="D31" s="33" t="n">
        <v>2</v>
      </c>
    </row>
    <row r="32" customFormat="false" ht="15" hidden="false" customHeight="true" outlineLevel="0" collapsed="false">
      <c r="A32" s="31" t="s">
        <v>72</v>
      </c>
      <c r="B32" s="32" t="n">
        <v>2</v>
      </c>
      <c r="C32" s="31"/>
      <c r="D32" s="33" t="n">
        <v>0</v>
      </c>
    </row>
    <row r="33" customFormat="false" ht="15" hidden="false" customHeight="true" outlineLevel="0" collapsed="false">
      <c r="A33" s="31" t="s">
        <v>73</v>
      </c>
      <c r="B33" s="32" t="n">
        <v>1</v>
      </c>
      <c r="C33" s="31"/>
      <c r="D33" s="33" t="n">
        <v>0</v>
      </c>
    </row>
    <row r="34" customFormat="false" ht="18" hidden="false" customHeight="true" outlineLevel="0" collapsed="false">
      <c r="A34" s="28" t="s">
        <v>74</v>
      </c>
      <c r="B34" s="29" t="n">
        <f aca="false">SUM(B35:B39)</f>
        <v>10</v>
      </c>
      <c r="C34" s="28"/>
      <c r="D34" s="30" t="n">
        <f aca="false">SUM(D35:D39)</f>
        <v>2</v>
      </c>
    </row>
    <row r="35" customFormat="false" ht="15" hidden="false" customHeight="true" outlineLevel="0" collapsed="false">
      <c r="A35" s="31" t="s">
        <v>75</v>
      </c>
      <c r="B35" s="32" t="n">
        <v>3</v>
      </c>
      <c r="C35" s="31"/>
      <c r="D35" s="33" t="n">
        <v>2</v>
      </c>
    </row>
    <row r="36" customFormat="false" ht="15" hidden="false" customHeight="true" outlineLevel="0" collapsed="false">
      <c r="A36" s="31" t="s">
        <v>76</v>
      </c>
      <c r="B36" s="32" t="n">
        <v>2</v>
      </c>
      <c r="C36" s="31"/>
      <c r="D36" s="33" t="n">
        <v>0</v>
      </c>
    </row>
    <row r="37" customFormat="false" ht="15" hidden="false" customHeight="true" outlineLevel="0" collapsed="false">
      <c r="A37" s="31" t="s">
        <v>77</v>
      </c>
      <c r="B37" s="32" t="n">
        <v>2</v>
      </c>
      <c r="C37" s="31"/>
      <c r="D37" s="33" t="n">
        <v>0</v>
      </c>
    </row>
    <row r="38" customFormat="false" ht="15" hidden="false" customHeight="true" outlineLevel="0" collapsed="false">
      <c r="A38" s="31" t="s">
        <v>78</v>
      </c>
      <c r="B38" s="32" t="n">
        <v>1</v>
      </c>
      <c r="C38" s="31"/>
      <c r="D38" s="33" t="n">
        <v>0</v>
      </c>
    </row>
    <row r="39" customFormat="false" ht="15" hidden="false" customHeight="true" outlineLevel="0" collapsed="false">
      <c r="A39" s="31" t="s">
        <v>79</v>
      </c>
      <c r="B39" s="32" t="n">
        <v>2</v>
      </c>
      <c r="C39" s="31"/>
      <c r="D39" s="33" t="n">
        <v>0</v>
      </c>
    </row>
    <row r="40" customFormat="false" ht="18" hidden="false" customHeight="true" outlineLevel="0" collapsed="false">
      <c r="A40" s="28" t="s">
        <v>80</v>
      </c>
      <c r="B40" s="29" t="n">
        <f aca="false">SUM(B41:B43)</f>
        <v>6</v>
      </c>
      <c r="C40" s="28"/>
      <c r="D40" s="30" t="n">
        <f aca="false">IF(SUM(D41:D43)=0,"",SUM(D41:D43))</f>
        <v>2</v>
      </c>
    </row>
    <row r="41" customFormat="false" ht="15" hidden="false" customHeight="true" outlineLevel="0" collapsed="false">
      <c r="A41" s="31" t="s">
        <v>81</v>
      </c>
      <c r="B41" s="32" t="n">
        <v>2</v>
      </c>
      <c r="C41" s="31"/>
      <c r="D41" s="33" t="n">
        <v>2</v>
      </c>
    </row>
    <row r="42" customFormat="false" ht="15" hidden="false" customHeight="true" outlineLevel="0" collapsed="false">
      <c r="A42" s="31" t="s">
        <v>82</v>
      </c>
      <c r="B42" s="32" t="n">
        <v>2</v>
      </c>
      <c r="C42" s="31"/>
      <c r="D42" s="33" t="n">
        <v>0</v>
      </c>
    </row>
    <row r="43" customFormat="false" ht="15" hidden="false" customHeight="true" outlineLevel="0" collapsed="false">
      <c r="A43" s="31" t="s">
        <v>83</v>
      </c>
      <c r="B43" s="32" t="n">
        <v>2</v>
      </c>
      <c r="C43" s="31"/>
      <c r="D43" s="33" t="n">
        <v>0</v>
      </c>
    </row>
    <row r="44" customFormat="false" ht="18" hidden="false" customHeight="true" outlineLevel="0" collapsed="false">
      <c r="A44" s="28" t="s">
        <v>84</v>
      </c>
      <c r="B44" s="29" t="n">
        <f aca="false">SUM(B45:B48)</f>
        <v>8</v>
      </c>
      <c r="C44" s="28"/>
      <c r="D44" s="30" t="n">
        <f aca="false">IF(SUM(D45:D48)=0,"",SUM(D45:D48))</f>
        <v>5</v>
      </c>
    </row>
    <row r="45" customFormat="false" ht="15" hidden="false" customHeight="true" outlineLevel="0" collapsed="false">
      <c r="A45" s="31" t="s">
        <v>85</v>
      </c>
      <c r="B45" s="32" t="n">
        <v>2</v>
      </c>
      <c r="C45" s="31"/>
      <c r="D45" s="33" t="n">
        <v>0</v>
      </c>
    </row>
    <row r="46" customFormat="false" ht="15" hidden="false" customHeight="true" outlineLevel="0" collapsed="false">
      <c r="A46" s="31" t="s">
        <v>86</v>
      </c>
      <c r="B46" s="32" t="n">
        <v>3</v>
      </c>
      <c r="C46" s="31"/>
      <c r="D46" s="33" t="n">
        <v>3</v>
      </c>
    </row>
    <row r="47" customFormat="false" ht="15" hidden="false" customHeight="true" outlineLevel="0" collapsed="false">
      <c r="A47" s="31" t="s">
        <v>87</v>
      </c>
      <c r="B47" s="32" t="n">
        <v>2</v>
      </c>
      <c r="C47" s="31"/>
      <c r="D47" s="33" t="n">
        <v>2</v>
      </c>
    </row>
    <row r="48" customFormat="false" ht="15" hidden="false" customHeight="true" outlineLevel="0" collapsed="false">
      <c r="A48" s="31" t="s">
        <v>88</v>
      </c>
      <c r="B48" s="32" t="n">
        <v>1</v>
      </c>
      <c r="C48" s="31"/>
      <c r="D48" s="33" t="n">
        <v>0</v>
      </c>
    </row>
    <row r="49" customFormat="false" ht="18" hidden="false" customHeight="true" outlineLevel="0" collapsed="false">
      <c r="A49" s="28" t="s">
        <v>89</v>
      </c>
      <c r="B49" s="29" t="n">
        <f aca="false">SUM(B50:B52)</f>
        <v>6</v>
      </c>
      <c r="C49" s="28"/>
      <c r="D49" s="30" t="n">
        <f aca="false">IF(SUM(D50:D52)=0,"",SUM(D50:D52))</f>
        <v>5</v>
      </c>
    </row>
    <row r="50" customFormat="false" ht="15" hidden="false" customHeight="true" outlineLevel="0" collapsed="false">
      <c r="A50" s="31" t="s">
        <v>90</v>
      </c>
      <c r="B50" s="32" t="n">
        <v>2</v>
      </c>
      <c r="C50" s="31"/>
      <c r="D50" s="33" t="n">
        <v>2</v>
      </c>
    </row>
    <row r="51" customFormat="false" ht="15" hidden="false" customHeight="true" outlineLevel="0" collapsed="false">
      <c r="A51" s="31" t="s">
        <v>91</v>
      </c>
      <c r="B51" s="32" t="n">
        <v>2</v>
      </c>
      <c r="C51" s="31"/>
      <c r="D51" s="33" t="n">
        <v>1</v>
      </c>
    </row>
    <row r="52" customFormat="false" ht="15" hidden="false" customHeight="true" outlineLevel="0" collapsed="false">
      <c r="A52" s="31" t="s">
        <v>92</v>
      </c>
      <c r="B52" s="32" t="n">
        <v>2</v>
      </c>
      <c r="C52" s="31"/>
      <c r="D52" s="33" t="n">
        <v>2</v>
      </c>
    </row>
    <row r="53" customFormat="false" ht="18" hidden="false" customHeight="true" outlineLevel="0" collapsed="false">
      <c r="A53" s="28" t="s">
        <v>93</v>
      </c>
      <c r="B53" s="29" t="n">
        <f aca="false">SUM(B54:B57)</f>
        <v>8</v>
      </c>
      <c r="C53" s="28"/>
      <c r="D53" s="30" t="n">
        <f aca="false">IF(SUM(D54:D57)=0,"",SUM(D54:D57))</f>
        <v>8</v>
      </c>
    </row>
    <row r="54" customFormat="false" ht="15" hidden="false" customHeight="true" outlineLevel="0" collapsed="false">
      <c r="A54" s="31" t="s">
        <v>94</v>
      </c>
      <c r="B54" s="32" t="n">
        <v>2</v>
      </c>
      <c r="C54" s="31"/>
      <c r="D54" s="33" t="n">
        <v>2</v>
      </c>
    </row>
    <row r="55" customFormat="false" ht="15" hidden="false" customHeight="true" outlineLevel="0" collapsed="false">
      <c r="A55" s="31" t="s">
        <v>95</v>
      </c>
      <c r="B55" s="32" t="n">
        <v>3</v>
      </c>
      <c r="C55" s="31"/>
      <c r="D55" s="33" t="n">
        <v>3</v>
      </c>
    </row>
    <row r="56" customFormat="false" ht="15" hidden="false" customHeight="true" outlineLevel="0" collapsed="false">
      <c r="A56" s="31" t="s">
        <v>96</v>
      </c>
      <c r="B56" s="32" t="n">
        <v>2</v>
      </c>
      <c r="C56" s="31"/>
      <c r="D56" s="33" t="n">
        <v>2</v>
      </c>
    </row>
    <row r="57" customFormat="false" ht="15" hidden="false" customHeight="true" outlineLevel="0" collapsed="false">
      <c r="A57" s="31" t="s">
        <v>97</v>
      </c>
      <c r="B57" s="32" t="n">
        <v>1</v>
      </c>
      <c r="C57" s="31"/>
      <c r="D57" s="33" t="n">
        <v>1</v>
      </c>
    </row>
    <row r="58" customFormat="false" ht="18" hidden="false" customHeight="true" outlineLevel="0" collapsed="false">
      <c r="A58" s="28" t="s">
        <v>98</v>
      </c>
      <c r="B58" s="29" t="n">
        <f aca="false">SUM(B59:B62)</f>
        <v>6</v>
      </c>
      <c r="C58" s="28"/>
      <c r="D58" s="30" t="n">
        <f aca="false">SUM(D59:D62)</f>
        <v>0</v>
      </c>
    </row>
    <row r="59" customFormat="false" ht="15" hidden="false" customHeight="true" outlineLevel="0" collapsed="false">
      <c r="A59" s="31" t="s">
        <v>99</v>
      </c>
      <c r="B59" s="32" t="n">
        <v>2</v>
      </c>
      <c r="C59" s="31"/>
      <c r="D59" s="33" t="n">
        <v>0</v>
      </c>
    </row>
    <row r="60" customFormat="false" ht="15" hidden="false" customHeight="true" outlineLevel="0" collapsed="false">
      <c r="A60" s="31" t="s">
        <v>100</v>
      </c>
      <c r="B60" s="32" t="n">
        <v>2</v>
      </c>
      <c r="C60" s="31"/>
      <c r="D60" s="33" t="n">
        <v>0</v>
      </c>
    </row>
    <row r="61" customFormat="false" ht="15" hidden="false" customHeight="true" outlineLevel="0" collapsed="false">
      <c r="A61" s="31" t="s">
        <v>101</v>
      </c>
      <c r="B61" s="32" t="n">
        <v>1</v>
      </c>
      <c r="C61" s="31"/>
      <c r="D61" s="33" t="n">
        <v>0</v>
      </c>
    </row>
    <row r="62" customFormat="false" ht="15" hidden="false" customHeight="true" outlineLevel="0" collapsed="false">
      <c r="A62" s="31" t="s">
        <v>102</v>
      </c>
      <c r="B62" s="32" t="n">
        <v>1</v>
      </c>
      <c r="C62" s="31"/>
      <c r="D62" s="33" t="n">
        <v>0</v>
      </c>
    </row>
    <row r="63" customFormat="false" ht="15" hidden="false" customHeight="true" outlineLevel="0" collapsed="false">
      <c r="A63" s="28" t="s">
        <v>103</v>
      </c>
      <c r="B63" s="29" t="n">
        <f aca="false">SUM(B64:B65)</f>
        <v>6</v>
      </c>
      <c r="C63" s="28"/>
      <c r="D63" s="30" t="n">
        <f aca="false">IF(SUM(D64:D65)=0,"",SUM(D64:D65))</f>
        <v>6</v>
      </c>
    </row>
    <row r="64" customFormat="false" ht="15" hidden="false" customHeight="true" outlineLevel="0" collapsed="false">
      <c r="A64" s="31" t="s">
        <v>104</v>
      </c>
      <c r="B64" s="32" t="n">
        <v>3</v>
      </c>
      <c r="C64" s="31"/>
      <c r="D64" s="33" t="n">
        <v>3</v>
      </c>
    </row>
    <row r="65" customFormat="false" ht="15" hidden="false" customHeight="true" outlineLevel="0" collapsed="false">
      <c r="A65" s="31" t="s">
        <v>105</v>
      </c>
      <c r="B65" s="32" t="n">
        <v>3</v>
      </c>
      <c r="C65" s="31"/>
      <c r="D65" s="33" t="n">
        <v>3</v>
      </c>
    </row>
    <row r="66" customFormat="false" ht="19.5" hidden="false" customHeight="true" outlineLevel="0" collapsed="false">
      <c r="A66" s="25" t="s">
        <v>106</v>
      </c>
      <c r="B66" s="26" t="n">
        <f aca="false">B67+B73</f>
        <v>25</v>
      </c>
      <c r="C66" s="25"/>
      <c r="D66" s="27" t="n">
        <f aca="false">IF(D67+D73=0,"",D67+D73)</f>
        <v>3</v>
      </c>
    </row>
    <row r="67" customFormat="false" ht="18" hidden="false" customHeight="true" outlineLevel="0" collapsed="false">
      <c r="A67" s="28" t="s">
        <v>107</v>
      </c>
      <c r="B67" s="29" t="n">
        <f aca="false">SUM(B68:B72)</f>
        <v>10</v>
      </c>
      <c r="C67" s="28"/>
      <c r="D67" s="30" t="n">
        <f aca="false">SUM(D68:D72)</f>
        <v>2</v>
      </c>
    </row>
    <row r="68" customFormat="false" ht="15" hidden="false" customHeight="true" outlineLevel="0" collapsed="false">
      <c r="A68" s="31" t="s">
        <v>108</v>
      </c>
      <c r="B68" s="32" t="n">
        <v>2</v>
      </c>
      <c r="C68" s="31"/>
      <c r="D68" s="33" t="n">
        <v>2</v>
      </c>
    </row>
    <row r="69" customFormat="false" ht="15" hidden="false" customHeight="true" outlineLevel="0" collapsed="false">
      <c r="A69" s="31" t="s">
        <v>109</v>
      </c>
      <c r="B69" s="32" t="n">
        <v>2</v>
      </c>
      <c r="C69" s="31"/>
      <c r="D69" s="33" t="n">
        <v>0</v>
      </c>
    </row>
    <row r="70" customFormat="false" ht="15" hidden="false" customHeight="true" outlineLevel="0" collapsed="false">
      <c r="A70" s="31" t="s">
        <v>110</v>
      </c>
      <c r="B70" s="32" t="n">
        <v>2</v>
      </c>
      <c r="C70" s="31"/>
      <c r="D70" s="33" t="n">
        <v>0</v>
      </c>
    </row>
    <row r="71" customFormat="false" ht="15" hidden="false" customHeight="true" outlineLevel="0" collapsed="false">
      <c r="A71" s="31" t="s">
        <v>111</v>
      </c>
      <c r="B71" s="32" t="n">
        <v>2</v>
      </c>
      <c r="C71" s="31"/>
      <c r="D71" s="33" t="n">
        <v>0</v>
      </c>
    </row>
    <row r="72" customFormat="false" ht="15" hidden="false" customHeight="true" outlineLevel="0" collapsed="false">
      <c r="A72" s="31" t="s">
        <v>112</v>
      </c>
      <c r="B72" s="32" t="n">
        <v>2</v>
      </c>
      <c r="C72" s="31"/>
      <c r="D72" s="33" t="n">
        <v>0</v>
      </c>
    </row>
    <row r="73" customFormat="false" ht="18" hidden="false" customHeight="true" outlineLevel="0" collapsed="false">
      <c r="A73" s="28" t="s">
        <v>113</v>
      </c>
      <c r="B73" s="29" t="n">
        <f aca="false">SUM(B74:B76)</f>
        <v>15</v>
      </c>
      <c r="C73" s="28"/>
      <c r="D73" s="30" t="n">
        <f aca="false">SUM(D74:D76)</f>
        <v>1</v>
      </c>
    </row>
    <row r="74" customFormat="false" ht="15" hidden="false" customHeight="true" outlineLevel="0" collapsed="false">
      <c r="A74" s="31" t="s">
        <v>114</v>
      </c>
      <c r="B74" s="32" t="n">
        <v>5</v>
      </c>
      <c r="C74" s="31"/>
      <c r="D74" s="33" t="n">
        <v>1</v>
      </c>
    </row>
    <row r="75" customFormat="false" ht="15" hidden="false" customHeight="true" outlineLevel="0" collapsed="false">
      <c r="A75" s="31" t="s">
        <v>115</v>
      </c>
      <c r="B75" s="32" t="n">
        <v>5</v>
      </c>
      <c r="C75" s="31"/>
      <c r="D75" s="33" t="n">
        <v>0</v>
      </c>
    </row>
    <row r="76" customFormat="false" ht="15" hidden="false" customHeight="true" outlineLevel="0" collapsed="false">
      <c r="A76" s="31" t="s">
        <v>116</v>
      </c>
      <c r="B76" s="32" t="n">
        <v>5</v>
      </c>
      <c r="C76" s="31"/>
      <c r="D76" s="33" t="n">
        <v>0</v>
      </c>
    </row>
    <row r="77" customFormat="false" ht="19.5" hidden="false" customHeight="true" outlineLevel="0" collapsed="false">
      <c r="A77" s="34" t="s">
        <v>117</v>
      </c>
      <c r="B77" s="35" t="n">
        <f aca="false">B15+B29+B66</f>
        <v>100</v>
      </c>
      <c r="C77" s="36"/>
      <c r="D77" s="16" t="n">
        <f aca="false">IF(D15+D29+D66=0,"",D15+D29+D66)</f>
        <v>50</v>
      </c>
    </row>
    <row r="78" customFormat="false" ht="1.5" hidden="false" customHeight="true" outlineLevel="0" collapsed="false">
      <c r="A78" s="18"/>
      <c r="B78" s="18"/>
      <c r="C78" s="18"/>
      <c r="D78" s="18"/>
    </row>
    <row r="79" customFormat="false" ht="15.75" hidden="false" customHeight="true" outlineLevel="0" collapsed="false">
      <c r="A79" s="17" t="s">
        <v>118</v>
      </c>
      <c r="B79" s="18"/>
      <c r="C79" s="18"/>
      <c r="D79" s="18"/>
    </row>
    <row r="80" customFormat="false" ht="15.75" hidden="false" customHeight="true" outlineLevel="0" collapsed="false">
      <c r="A80" s="24" t="s">
        <v>119</v>
      </c>
      <c r="B80" s="24" t="s">
        <v>120</v>
      </c>
      <c r="C80" s="24" t="s">
        <v>53</v>
      </c>
      <c r="D80" s="24"/>
    </row>
    <row r="81" customFormat="false" ht="15.75" hidden="false" customHeight="true" outlineLevel="0" collapsed="false">
      <c r="A81" s="31" t="s">
        <v>121</v>
      </c>
      <c r="B81" s="4"/>
      <c r="C81" s="37"/>
      <c r="D81" s="38"/>
    </row>
    <row r="82" customFormat="false" ht="15.75" hidden="false" customHeight="true" outlineLevel="0" collapsed="false">
      <c r="A82" s="31" t="s">
        <v>122</v>
      </c>
      <c r="B82" s="4"/>
      <c r="C82" s="37"/>
      <c r="D82" s="38"/>
    </row>
    <row r="83" customFormat="false" ht="15.75" hidden="false" customHeight="true" outlineLevel="0" collapsed="false">
      <c r="A83" s="31" t="s">
        <v>123</v>
      </c>
      <c r="B83" s="4"/>
      <c r="C83" s="37"/>
      <c r="D83" s="38"/>
    </row>
    <row r="84" customFormat="false" ht="15.75" hidden="false" customHeight="true" outlineLevel="0" collapsed="false">
      <c r="A84" s="31" t="s">
        <v>124</v>
      </c>
      <c r="B84" s="4"/>
      <c r="C84" s="37"/>
      <c r="D84" s="38"/>
    </row>
    <row r="85" customFormat="false" ht="15.75" hidden="false" customHeight="true" outlineLevel="0" collapsed="false">
      <c r="A85" s="31" t="s">
        <v>125</v>
      </c>
      <c r="B85" s="4"/>
      <c r="C85" s="37"/>
      <c r="D85" s="38"/>
    </row>
    <row r="86" customFormat="false" ht="15.75" hidden="false" customHeight="true" outlineLevel="0" collapsed="false">
      <c r="A86" s="31" t="s">
        <v>126</v>
      </c>
      <c r="B86" s="4"/>
      <c r="C86" s="37"/>
      <c r="D86" s="38"/>
    </row>
    <row r="87" customFormat="false" ht="1.5" hidden="false" customHeight="true" outlineLevel="0" collapsed="false">
      <c r="A87" s="18"/>
      <c r="B87" s="18"/>
      <c r="C87" s="18"/>
      <c r="D87" s="18"/>
    </row>
    <row r="88" customFormat="false" ht="15.75" hidden="false" customHeight="true" outlineLevel="0" collapsed="false">
      <c r="A88" s="17" t="s">
        <v>127</v>
      </c>
      <c r="B88" s="18"/>
      <c r="C88" s="18"/>
      <c r="D88" s="18"/>
    </row>
    <row r="89" customFormat="false" ht="15.75" hidden="false" customHeight="true" outlineLevel="0" collapsed="false">
      <c r="A89" s="24" t="s">
        <v>128</v>
      </c>
      <c r="B89" s="24" t="s">
        <v>8</v>
      </c>
      <c r="C89" s="24" t="s">
        <v>129</v>
      </c>
      <c r="D89" s="24" t="s">
        <v>130</v>
      </c>
    </row>
    <row r="90" customFormat="false" ht="15.75" hidden="false" customHeight="true" outlineLevel="0" collapsed="false">
      <c r="A90" s="31" t="s">
        <v>131</v>
      </c>
      <c r="B90" s="39" t="n">
        <v>-0.3</v>
      </c>
      <c r="C90" s="4"/>
      <c r="D90" s="8" t="str">
        <f aca="false">IF(C90="Sí",$D$77*B90,"")</f>
        <v/>
      </c>
    </row>
    <row r="91" customFormat="false" ht="15.75" hidden="false" customHeight="true" outlineLevel="0" collapsed="false">
      <c r="A91" s="31" t="s">
        <v>132</v>
      </c>
      <c r="B91" s="39" t="n">
        <v>-0.2</v>
      </c>
      <c r="C91" s="4"/>
      <c r="D91" s="8" t="str">
        <f aca="false">IF(C91="Sí",$D$77*B91,"")</f>
        <v/>
      </c>
    </row>
    <row r="92" customFormat="false" ht="15.75" hidden="false" customHeight="true" outlineLevel="0" collapsed="false">
      <c r="A92" s="31" t="s">
        <v>133</v>
      </c>
      <c r="B92" s="39" t="n">
        <v>-1</v>
      </c>
      <c r="C92" s="4"/>
      <c r="D92" s="8" t="str">
        <f aca="false">IF(C92="Sí",$D$77*B92,"")</f>
        <v/>
      </c>
    </row>
    <row r="93" customFormat="false" ht="15.75" hidden="false" customHeight="true" outlineLevel="0" collapsed="false">
      <c r="A93" s="31" t="s">
        <v>134</v>
      </c>
      <c r="B93" s="39" t="n">
        <v>-0.2</v>
      </c>
      <c r="C93" s="4"/>
      <c r="D93" s="8" t="str">
        <f aca="false">IF(C93="Sí",$D$77*B93,"")</f>
        <v/>
      </c>
    </row>
    <row r="94" customFormat="false" ht="15.75" hidden="false" customHeight="true" outlineLevel="0" collapsed="false">
      <c r="A94" s="31" t="s">
        <v>135</v>
      </c>
      <c r="B94" s="39" t="n">
        <v>-1</v>
      </c>
      <c r="C94" s="4"/>
      <c r="D94" s="8" t="str">
        <f aca="false">IF(C94="Sí",$D$77*B94,"")</f>
        <v/>
      </c>
    </row>
    <row r="95" customFormat="false" ht="15.75" hidden="false" customHeight="true" outlineLevel="0" collapsed="false">
      <c r="A95" s="31" t="s">
        <v>136</v>
      </c>
      <c r="B95" s="39" t="n">
        <v>-0.75</v>
      </c>
      <c r="C95" s="4"/>
      <c r="D95" s="8" t="str">
        <f aca="false">IF(C95="Sí",$D$77*B95,"")</f>
        <v/>
      </c>
    </row>
    <row r="96" customFormat="false" ht="15.75" hidden="false" customHeight="true" outlineLevel="0" collapsed="false">
      <c r="A96" s="31" t="s">
        <v>137</v>
      </c>
      <c r="B96" s="39" t="n">
        <v>-0.75</v>
      </c>
      <c r="C96" s="4"/>
      <c r="D96" s="8" t="str">
        <f aca="false">IF(C96="Sí",$D$77*B96,"")</f>
        <v/>
      </c>
    </row>
    <row r="97" customFormat="false" ht="15.75" hidden="false" customHeight="true" outlineLevel="0" collapsed="false">
      <c r="A97" s="31" t="s">
        <v>138</v>
      </c>
      <c r="B97" s="39" t="n">
        <v>-1</v>
      </c>
      <c r="C97" s="4"/>
      <c r="D97" s="8" t="str">
        <f aca="false">IF(C97="Sí",$D$77*B97,"")</f>
        <v/>
      </c>
    </row>
    <row r="98" customFormat="false" ht="15.75" hidden="false" customHeight="true" outlineLevel="0" collapsed="false">
      <c r="A98" s="31" t="s">
        <v>139</v>
      </c>
      <c r="B98" s="39" t="n">
        <v>-0.5</v>
      </c>
      <c r="C98" s="4"/>
      <c r="D98" s="8" t="str">
        <f aca="false">IF(C98="Sí",$D$77*B98,"")</f>
        <v/>
      </c>
    </row>
    <row r="99" customFormat="false" ht="15.75" hidden="false" customHeight="true" outlineLevel="0" collapsed="false">
      <c r="A99" s="31" t="s">
        <v>140</v>
      </c>
      <c r="B99" s="39" t="n">
        <v>-1</v>
      </c>
      <c r="C99" s="4"/>
      <c r="D99" s="8" t="str">
        <f aca="false">IF(C99="Sí",$D$77*B99,"")</f>
        <v/>
      </c>
    </row>
    <row r="100" customFormat="false" ht="15.75" hidden="false" customHeight="true" outlineLevel="0" collapsed="false">
      <c r="A100" s="31" t="s">
        <v>141</v>
      </c>
      <c r="B100" s="39" t="n">
        <v>-1</v>
      </c>
      <c r="C100" s="4"/>
      <c r="D100" s="8" t="str">
        <f aca="false">IF(C100="Sí",$D$77*B100,"")</f>
        <v/>
      </c>
    </row>
    <row r="101" customFormat="false" ht="15.75" hidden="false" customHeight="true" outlineLevel="0" collapsed="false">
      <c r="A101" s="31" t="s">
        <v>142</v>
      </c>
      <c r="B101" s="39" t="n">
        <v>-0.25</v>
      </c>
      <c r="C101" s="4"/>
      <c r="D101" s="8" t="str">
        <f aca="false">IF(C101="Sí",$D$77*B101,"")</f>
        <v/>
      </c>
    </row>
    <row r="102" customFormat="false" ht="15.75" hidden="false" customHeight="true" outlineLevel="0" collapsed="false">
      <c r="A102" s="31" t="s">
        <v>143</v>
      </c>
      <c r="B102" s="39" t="n">
        <v>-1</v>
      </c>
      <c r="C102" s="4"/>
      <c r="D102" s="8" t="str">
        <f aca="false">IF(C102="Sí",$D$77*B102,"")</f>
        <v/>
      </c>
    </row>
    <row r="103" customFormat="false" ht="15.75" hidden="false" customHeight="true" outlineLevel="0" collapsed="false">
      <c r="A103" s="31" t="s">
        <v>144</v>
      </c>
      <c r="B103" s="39" t="n">
        <v>-1</v>
      </c>
      <c r="C103" s="4"/>
      <c r="D103" s="8" t="str">
        <f aca="false">IF(C103="Sí",$D$77*B103,"")</f>
        <v/>
      </c>
    </row>
    <row r="104" customFormat="false" ht="15.75" hidden="false" customHeight="true" outlineLevel="0" collapsed="false">
      <c r="A104" s="31" t="s">
        <v>145</v>
      </c>
      <c r="B104" s="39" t="n">
        <v>-1</v>
      </c>
      <c r="C104" s="4"/>
      <c r="D104" s="8" t="str">
        <f aca="false">IF(C104="Sí",$D$77*B104,"")</f>
        <v/>
      </c>
    </row>
    <row r="105" customFormat="false" ht="15.75" hidden="false" customHeight="true" outlineLevel="0" collapsed="false">
      <c r="A105" s="31" t="s">
        <v>146</v>
      </c>
      <c r="B105" s="39" t="n">
        <v>-1</v>
      </c>
      <c r="C105" s="4"/>
      <c r="D105" s="8" t="str">
        <f aca="false">IF(C105="Sí",$D$77*B105,"")</f>
        <v/>
      </c>
    </row>
    <row r="106" customFormat="false" ht="15.75" hidden="false" customHeight="true" outlineLevel="0" collapsed="false">
      <c r="A106" s="34" t="s">
        <v>147</v>
      </c>
      <c r="B106" s="36"/>
      <c r="C106" s="36"/>
      <c r="D106" s="16" t="str">
        <f aca="false">IF(SUM(D90:D105)=0,"",SUM(D90:D105))</f>
        <v/>
      </c>
    </row>
    <row r="107" customFormat="false" ht="1.5" hidden="false" customHeight="true" outlineLevel="0" collapsed="false">
      <c r="A107" s="18"/>
      <c r="B107" s="18"/>
      <c r="C107" s="18"/>
      <c r="D107" s="18"/>
    </row>
    <row r="108" customFormat="false" ht="21.75" hidden="false" customHeight="true" outlineLevel="0" collapsed="false">
      <c r="A108" s="40" t="s">
        <v>148</v>
      </c>
      <c r="B108" s="41"/>
      <c r="C108" s="41"/>
      <c r="D108" s="42" t="e">
        <f aca="false">IF(MAX(0,ROUND($D$77+$D$106,2))=0,"",MAX(0,ROUND($D$77+$D$106,2)))</f>
        <v>#VALUE!</v>
      </c>
    </row>
    <row r="109" customFormat="false" ht="1.5" hidden="false" customHeight="true" outlineLevel="0" collapsed="false">
      <c r="A109" s="18"/>
      <c r="B109" s="18"/>
      <c r="C109" s="18"/>
      <c r="D109" s="18"/>
    </row>
    <row r="110" customFormat="false" ht="15.75" hidden="false" customHeight="true" outlineLevel="0" collapsed="false">
      <c r="A110" s="43" t="s">
        <v>149</v>
      </c>
      <c r="B110" s="18"/>
      <c r="C110" s="18"/>
      <c r="D110" s="18"/>
    </row>
    <row r="111" customFormat="false" ht="18" hidden="false" customHeight="true" outlineLevel="0" collapsed="false">
      <c r="A111" s="37"/>
      <c r="B111" s="37"/>
      <c r="C111" s="37"/>
      <c r="D111" s="37"/>
    </row>
    <row r="112" customFormat="false" ht="18" hidden="false" customHeight="true" outlineLevel="0" collapsed="false">
      <c r="A112" s="37"/>
      <c r="B112" s="37"/>
      <c r="C112" s="37"/>
      <c r="D112" s="37"/>
    </row>
    <row r="113" customFormat="false" ht="3" hidden="false" customHeight="true" outlineLevel="0" collapsed="false">
      <c r="A113" s="18"/>
      <c r="B113" s="18"/>
      <c r="C113" s="18"/>
      <c r="D113" s="18"/>
    </row>
    <row r="114" customFormat="false" ht="12" hidden="false" customHeight="true" outlineLevel="0" collapsed="false">
      <c r="A114" s="18"/>
      <c r="B114" s="18"/>
      <c r="C114" s="18"/>
      <c r="D114" s="18"/>
    </row>
    <row r="115" customFormat="false" ht="8.25" hidden="false" customHeight="true" outlineLevel="0" collapsed="false">
      <c r="A115" s="44" t="s">
        <v>150</v>
      </c>
      <c r="B115" s="18"/>
      <c r="C115" s="44" t="s">
        <v>150</v>
      </c>
      <c r="D115" s="18"/>
    </row>
    <row r="116" customFormat="false" ht="13.5" hidden="false" customHeight="true" outlineLevel="0" collapsed="false">
      <c r="A116" s="44" t="s">
        <v>151</v>
      </c>
      <c r="B116" s="18"/>
      <c r="C116" s="44" t="s">
        <v>152</v>
      </c>
      <c r="D116" s="18"/>
    </row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</sheetData>
  <mergeCells count="9">
    <mergeCell ref="A8:D8"/>
    <mergeCell ref="A10:B10"/>
    <mergeCell ref="C10:D10"/>
    <mergeCell ref="A11:B11"/>
    <mergeCell ref="C11:D11"/>
    <mergeCell ref="A12:B12"/>
    <mergeCell ref="C12:D12"/>
    <mergeCell ref="A111:D111"/>
    <mergeCell ref="A112:D112"/>
  </mergeCells>
  <conditionalFormatting sqref="D15:D76">
    <cfRule type="cellIs" priority="2" operator="greaterThan" aboveAverage="0" equalAverage="0" bottom="0" percent="0" rank="0" text="" dxfId="10">
      <formula>B15</formula>
    </cfRule>
  </conditionalFormatting>
  <dataValidations count="1">
    <dataValidation allowBlank="true" errorStyle="stop" operator="equal" showDropDown="false" showErrorMessage="false" showInputMessage="false" sqref="B81:B86 C90:C105" type="list">
      <formula1>"Sí,No"</formula1>
      <formula2>0</formula2>
    </dataValidation>
  </dataValidations>
  <printOptions headings="false" gridLines="false" gridLinesSet="true" horizontalCentered="true" verticalCentered="false"/>
  <pageMargins left="0.39375" right="0.39375" top="0.196527777777778" bottom="0.196527777777778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es-GT</dc:language>
  <cp:lastModifiedBy/>
  <dcterms:modified xsi:type="dcterms:W3CDTF">2026-09-19T00:58:55Z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