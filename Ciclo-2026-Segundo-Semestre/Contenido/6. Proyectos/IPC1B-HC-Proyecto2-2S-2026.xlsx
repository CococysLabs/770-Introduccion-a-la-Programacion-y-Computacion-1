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202201204" sheetId="2" r:id="rId5"/>
    <sheet state="visible" name="202407699" sheetId="3" r:id="rId6"/>
    <sheet state="visible" name="202400066" sheetId="4" r:id="rId7"/>
    <sheet state="visible" name="202400155" sheetId="5" r:id="rId8"/>
    <sheet state="visible" name="202405048" sheetId="6" r:id="rId9"/>
    <sheet state="visible" name="202403338" sheetId="7" r:id="rId10"/>
    <sheet state="visible" name="202507586" sheetId="8" r:id="rId11"/>
    <sheet state="visible" name="202501625" sheetId="9" r:id="rId12"/>
    <sheet state="visible" name="202505830" sheetId="10" r:id="rId13"/>
    <sheet state="visible" name="202406816" sheetId="11" r:id="rId14"/>
    <sheet state="visible" name="202501349" sheetId="12" r:id="rId15"/>
    <sheet state="visible" name="Consolidado" sheetId="13" r:id="rId16"/>
  </sheets>
  <definedNames>
    <definedName hidden="1" localSheetId="12" name="_xlnm._FilterDatabase">Consolidado!$A$2:$Z$26</definedName>
  </definedNames>
  <calcPr/>
  <extLst>
    <ext uri="GoogleSheetsCustomDataVersion2">
      <go:sheetsCustomData xmlns:go="http://customooxmlschemas.google.com/" r:id="rId17" roundtripDataChecksum="2nYbXVIFZ9GcF585I+5JZ4a7fGSUkCkwNH5e/RSOoGY="/>
    </ext>
  </extLst>
</workbook>
</file>

<file path=xl/sharedStrings.xml><?xml version="1.0" encoding="utf-8"?>
<sst xmlns="http://schemas.openxmlformats.org/spreadsheetml/2006/main" count="1461" uniqueCount="182">
  <si>
    <t>UNIVERSIDAD DE SAN CARLOS DE GUATEMALA</t>
  </si>
  <si>
    <t>FACULTAD DE INGENIERÍA</t>
  </si>
  <si>
    <t>ESCUELA DE CIENCIAS Y SISTEMAS</t>
  </si>
  <si>
    <t>Introducción a la Programación y Computación 1, Sección B</t>
  </si>
  <si>
    <t>Ing. William Estuardo Escobar Argueta</t>
  </si>
  <si>
    <t>Aux. Fernando José Vicente Velásquez</t>
  </si>
  <si>
    <t>Introducción a la Programación y Computación 1, Sección E</t>
  </si>
  <si>
    <t>Hoja de Calificación – Proyecto 2: Parque Residencial: Sistema de Gestión de Parqueo</t>
  </si>
  <si>
    <t>Fecha de calificación:</t>
  </si>
  <si>
    <t>Nombre del estudiante:</t>
  </si>
  <si>
    <t>Carné:</t>
  </si>
  <si>
    <t>Descripción de Ponderación</t>
  </si>
  <si>
    <t>Valor</t>
  </si>
  <si>
    <t>Observación</t>
  </si>
  <si>
    <t>Punteo</t>
  </si>
  <si>
    <t>1. HABILIDADES – CÓMO SE PROGRAMA</t>
  </si>
  <si>
    <t>1.1 Documentación</t>
  </si>
  <si>
    <t>Manual técnico: arquitectura, diagrama de clases, estructuras, hilos y formato de archivos</t>
  </si>
  <si>
    <t>Manual de usuario con capturas reales de cada panel (residentes, vehículos, visitantes, simulación, eventos)</t>
  </si>
  <si>
    <t>Informe de desarrollo: plan por etapas, avance, problemas encontrados y soluciones</t>
  </si>
  <si>
    <t>Informe realizado con herramienta https://aicodedetector.org/</t>
  </si>
  <si>
    <t>1.2 Repositorio GitHub</t>
  </si>
  <si>
    <t>Formato de nombre correcto y auxiliar agregado como colaborador</t>
  </si>
  <si>
    <t>Commits incrementales y semánticos (feat:, fix:, docs:), no concentrados al final</t>
  </si>
  <si>
    <t>Proyecto compilable desde el repo, .jar ejecutable y archivos .txt de ejemplo incluidos</t>
  </si>
  <si>
    <t>1.3 Buenas prácticas de código e interfaz</t>
  </si>
  <si>
    <t>Organización en paquetes (estructuras, modelo, hilos, persistencia, vista) con POO y sin sobreingeniería</t>
  </si>
  <si>
    <t>Nombres de variables/métodos claros y comentarios útiles</t>
  </si>
  <si>
    <t>Swing codificado manualmente y actualización de la UI desde hilos con SwingUtilities.invokeLater</t>
  </si>
  <si>
    <t>2. CONOCIMIENTO – QUÉ SE PROGRAMA</t>
  </si>
  <si>
    <t>2.1 Lista doblemente enlazada – Residentes</t>
  </si>
  <si>
    <t>Nodo propio con anterior/siguiente; insertar y buscar residentes (ID, nombre, casa, socio)</t>
  </si>
  <si>
    <t>Eliminar y actualizar residentes manteniendo correctamente las referencias</t>
  </si>
  <si>
    <t>Recorrido de la lista en ambos sentidos y visualización de los residentes</t>
  </si>
  <si>
    <t>2.2 Lista simplemente enlazada – Vehículos</t>
  </si>
  <si>
    <t>Lista propia por residente: insertar, eliminar y recorrer vehículos (placa, marca, modelo, color, tipo, estado)</t>
  </si>
  <si>
    <t>Validación de 0 a 3 vehículos: impide registrar un cuarto vehículo</t>
  </si>
  <si>
    <t>2.3 Lista doble de listas simples – Parqueo</t>
  </si>
  <si>
    <t>150 nodos que representan espacios físicos (ID, estado, vehículo estacionado, tipo socio/general)</t>
  </si>
  <si>
    <t>Enlaces arriba/abajo y enlace simple que reflejan la distribución A–C (25) y E–I (15)</t>
  </si>
  <si>
    <t>Recorrido para buscar espacio libre por tipo, asignación y liberación correcta del espacio</t>
  </si>
  <si>
    <t>Validación del área de socios: ningún vehículo no autorizado ocupa A–C (reglas documentadas)</t>
  </si>
  <si>
    <t>2.4 Colas FIFO – Entrada y salida</t>
  </si>
  <si>
    <t>Cola de entrada manual (FIFO) consumida por las 3 garitas de entrada</t>
  </si>
  <si>
    <t>Cola de salida implementada manualmente consumida por las 2 garitas</t>
  </si>
  <si>
    <t>2.5 Pila LIFO – Historial de eventos</t>
  </si>
  <si>
    <t>Pila implementada manualmente que registra ingreso, salida, asignación, rechazo, visitante y liberación</t>
  </si>
  <si>
    <t>Consulta de los últimos eventos respetando el orden LIFO</t>
  </si>
  <si>
    <t>2.6 Hilos y sincronización</t>
  </si>
  <si>
    <t>3 garitas de entrada y 2 de salida como hilos concurrentes con función real (Thread/Runnable)</t>
  </si>
  <si>
    <t>Uso de synchronized para proteger colas y la lista de listas del parqueo</t>
  </si>
  <si>
    <t>wait() en ciclo while con cola vacía y notify()/notifyAll() al llegar vehículos</t>
  </si>
  <si>
    <t>Sin condiciones de carrera: no se asigna el mismo espacio a dos vehículos ni se pierden vehículos</t>
  </si>
  <si>
    <t>2.7 Gestión de residentes, socios y visitantes</t>
  </si>
  <si>
    <t>Registrar, modificar, eliminar y buscar residentes; asociar y mostrar sus vehículos</t>
  </si>
  <si>
    <t>Visitantes como información temporal: ingresan, reciben espacio y salen sin guardarse como residentes</t>
  </si>
  <si>
    <t>2.8 Persistencia en archivos de texto</t>
  </si>
  <si>
    <t>Guarda residentes y vehículos al cerrar en archivos .txt con el formato definido</t>
  </si>
  <si>
    <t>Reconstruye las listas enlazadas al iniciar y no persiste visitantes</t>
  </si>
  <si>
    <t>2.9 Interfaz gráfica y simulación</t>
  </si>
  <si>
    <t>Panel de parqueo: 150 espacios, diferencia libres/ocupados e identifica el vehículo</t>
  </si>
  <si>
    <t>Paneles de residentes y vehículos funcionales</t>
  </si>
  <si>
    <t>Paneles de entrada y salida: colas, garitas y vehículo atendido actualizándose en tiempo real</t>
  </si>
  <si>
    <t>Panel de eventos y flujo completo (llegada → cola → garita → espacio → salida → pila) sin errores</t>
  </si>
  <si>
    <t>3. VERIFICACIÓN DE AUTORÍA / DEFENSA</t>
  </si>
  <si>
    <t>3.1 Preguntas sobre el código</t>
  </si>
  <si>
    <t>Pregunta 1 (listas doble/simple): explica la lógica y localiza la implementación en el código</t>
  </si>
  <si>
    <t>Pregunta 2 (lista de listas del parqueo): explica la lógica y localiza la implementación en el código</t>
  </si>
  <si>
    <t>Pregunta 3 (colas y pila): explica la lógica y localiza la implementación en el código</t>
  </si>
  <si>
    <t>Pregunta 4 (hilos y sincronización): explica la lógica y localiza la implementación en el código</t>
  </si>
  <si>
    <t>Pregunta 5 (libre: persistencia, interfaz o reglas): explica la lógica y localiza la implementación</t>
  </si>
  <si>
    <t>3.2 Modificación de código durante la evaluación</t>
  </si>
  <si>
    <t>Ubica en el código la lógica que debe modificar</t>
  </si>
  <si>
    <t>Implementa la modificación solicitada</t>
  </si>
  <si>
    <t>Compila el proyecto y demuestra el cambio funcionando</t>
  </si>
  <si>
    <t>TOTAL OBTENIDO (antes de penalizaciones)</t>
  </si>
  <si>
    <t>REQUISITOS PARA OPTAR A LA CALIFICACIÓN (informativo)</t>
  </si>
  <si>
    <t>Requisito</t>
  </si>
  <si>
    <t>Cumple</t>
  </si>
  <si>
    <t>Estructuras propias: listas, colas y pila manuales (sin colecciones de java.util)</t>
  </si>
  <si>
    <t>Tecnologías: Java 17+ y Swing manual; sin JavaFX, bases de datos ni frameworks</t>
  </si>
  <si>
    <t>Ejecución: el proyecto compila y el archivo .jar funciona correctamente a partir de los entregables</t>
  </si>
  <si>
    <t>Repositorio: GitHub con historial de commits incrementales, auxiliar como colaborador y entregado en fecha</t>
  </si>
  <si>
    <t>Documentación: Manual técnico, Manual de usuario e Informe de desarrollo</t>
  </si>
  <si>
    <t>Originalidad: el código es de autoría propia (copias totales o parciales = 0 pts)</t>
  </si>
  <si>
    <t>Autoría: el estudiante se presenta a la evaluación, explica y modifica su código</t>
  </si>
  <si>
    <t>ASPECTOS REQUERIDOS – PENALIZACIONES SOBRE EL TOTAL OBTENIDO</t>
  </si>
  <si>
    <t>Descripción</t>
  </si>
  <si>
    <t>Penalización</t>
  </si>
  <si>
    <t>¿Aplica?</t>
  </si>
  <si>
    <t>Descuento</t>
  </si>
  <si>
    <t>Falta de documentación adecuada (README, manuales, diagrama de clases o informe)</t>
  </si>
  <si>
    <t>No</t>
  </si>
  <si>
    <t>Mal uso de estructura de código, comentarios o indentación (dificulta entender el código)</t>
  </si>
  <si>
    <t>El estudiante realizó commits fuera de la fecha de entrega</t>
  </si>
  <si>
    <t>El estudiante no realizó 2 commits semanales</t>
  </si>
  <si>
    <t>La aplicación no está desarrollada en Java</t>
  </si>
  <si>
    <t>Uso de JavaFX, bases de datos, frameworks o librerías externas no permitidas</t>
  </si>
  <si>
    <t>Uso de ArrayList, LinkedList, Stack, Queue, Deque u otra colección de java.util</t>
  </si>
  <si>
    <t>La interfaz no está hecha en Swing o se realizó con diseñador drag and drop</t>
  </si>
  <si>
    <t>La aplicación no tiene interfaz gráfica (es de consola)</t>
  </si>
  <si>
    <t>Los hilos no son concurrentes o se crean solo para cumplir el requisito (sin función real)</t>
  </si>
  <si>
    <t>Toda la solución está desarrollada dentro del método main</t>
  </si>
  <si>
    <t>No se agregó al auxiliar como colaborador del repositorio</t>
  </si>
  <si>
    <t>No se siguen instrucciones del repositorio (otro nombre, otro repositorio o falta de estructura de paquetes)</t>
  </si>
  <si>
    <t>El estudiante realizó copia total o parcial de código, documentación o diagramas</t>
  </si>
  <si>
    <t>El estudiante utilizó inteligencia artificial en la mayoría del proyecto</t>
  </si>
  <si>
    <t>El estudiante no presenta el proyecto usando el .jar generado</t>
  </si>
  <si>
    <t>El estudiante no se presenta a la evaluación o no puede explicar ni modificar su código</t>
  </si>
  <si>
    <t>1 solo commit con todo el proyecto</t>
  </si>
  <si>
    <t>TOTAL DE PENALIZACIONES</t>
  </si>
  <si>
    <t>NOTA FINAL (sobre 100 pts)</t>
  </si>
  <si>
    <t>Observaciones generales:</t>
  </si>
  <si>
    <t>_________________________</t>
  </si>
  <si>
    <t>Firma del Alumno</t>
  </si>
  <si>
    <t>Firma del Auxiliar</t>
  </si>
  <si>
    <t>Consolidado de calificaciones – Proyecto 2: Parque Residencial: Sistema de Gestión de Parqueo</t>
  </si>
  <si>
    <t>No.</t>
  </si>
  <si>
    <t>Carné</t>
  </si>
  <si>
    <t>Nombre del estudiante</t>
  </si>
  <si>
    <t>Habilidades (15)</t>
  </si>
  <si>
    <t>Conocimiento (35)</t>
  </si>
  <si>
    <t>Autoría (50)</t>
  </si>
  <si>
    <t>Subtotal</t>
  </si>
  <si>
    <t>Nota final</t>
  </si>
  <si>
    <t>Plagio</t>
  </si>
  <si>
    <t>Uso de IA</t>
  </si>
  <si>
    <t>Modificacion</t>
  </si>
  <si>
    <t>Repositorio</t>
  </si>
  <si>
    <t>MARTA GABRIELA GÓMEZ DIMAYUGA</t>
  </si>
  <si>
    <t>201503481</t>
  </si>
  <si>
    <t>DIEGO ALFONSO CANEL FUENTES</t>
  </si>
  <si>
    <t>202004723</t>
  </si>
  <si>
    <t>ERMI RONALDO SOTO MEJÍA</t>
  </si>
  <si>
    <t>202201204</t>
  </si>
  <si>
    <t>BRYAN ALEXANDER MARTÍNEZ FLORES</t>
  </si>
  <si>
    <t>202300365</t>
  </si>
  <si>
    <t>BRAYAN HOMERO SOSA GONZALEZ</t>
  </si>
  <si>
    <t>202303797</t>
  </si>
  <si>
    <t>ROLANDO AARÓN BARRIOS BOROR</t>
  </si>
  <si>
    <t>202306260</t>
  </si>
  <si>
    <t>WILLIAM SAMUEL CABRERA GÓMEZ</t>
  </si>
  <si>
    <t>202308203</t>
  </si>
  <si>
    <t>HANS CRISTIAN MEYER DIAZ</t>
  </si>
  <si>
    <t>202308528</t>
  </si>
  <si>
    <t>ASTRID MARIA SUSETH MORALES RODAS</t>
  </si>
  <si>
    <t>202400066</t>
  </si>
  <si>
    <t>DIEGO SEBASTIAN ALVARADO MORATAYA</t>
  </si>
  <si>
    <t>202400155</t>
  </si>
  <si>
    <t>ESVIN FERNANDO ORTEGA GONZÁLEZ</t>
  </si>
  <si>
    <t>202400482</t>
  </si>
  <si>
    <t>ADRIAN EDUARDO ALVAREZ ZAMBRANO</t>
  </si>
  <si>
    <t>202403338</t>
  </si>
  <si>
    <t>ANDY RAÍ TELÓN GABRIEL</t>
  </si>
  <si>
    <t>202404528</t>
  </si>
  <si>
    <t>MELISSA GRISSEL PEREZ RIVAS</t>
  </si>
  <si>
    <t>202405048</t>
  </si>
  <si>
    <t>MONIKA ESTEFANIA CRUZ PALACIOS</t>
  </si>
  <si>
    <t>202405842</t>
  </si>
  <si>
    <t>GABRIEL LEVI ZAPETA MAZARIEGOS</t>
  </si>
  <si>
    <t>202406816</t>
  </si>
  <si>
    <t>EVELYN ARACELY CARDONA AGUILON</t>
  </si>
  <si>
    <t>202407699</t>
  </si>
  <si>
    <t>KEVIN ANDRE MENDOZA VILLEDA</t>
  </si>
  <si>
    <t>202501349</t>
  </si>
  <si>
    <t>DIEGO JOSÉ GÓMEZ LÓPEZ</t>
  </si>
  <si>
    <t>202501470</t>
  </si>
  <si>
    <t>CARLOS ANDRÉS HERNÁNDEZ VÁSQUEZ</t>
  </si>
  <si>
    <t>202501625</t>
  </si>
  <si>
    <t>CHUNG MIN KIM CHEN</t>
  </si>
  <si>
    <t>202502481</t>
  </si>
  <si>
    <t>FRANCISCO JAVIER CHIVICHÓN FERNÁNDEZ</t>
  </si>
  <si>
    <t>202505830</t>
  </si>
  <si>
    <t>NAOMI ROCIO AXPUAC VELASQUEZ</t>
  </si>
  <si>
    <t>202507586</t>
  </si>
  <si>
    <t>KEVYN JOSUÉ APÉN OTZOY</t>
  </si>
  <si>
    <t>Estudiantes calificados</t>
  </si>
  <si>
    <t>Nota promedio</t>
  </si>
  <si>
    <t>Nota más alta</t>
  </si>
  <si>
    <t>Nota más baja</t>
  </si>
  <si>
    <t>Aprobados (61 pts o más)</t>
  </si>
  <si>
    <t>Reprobados (menos de 61 pts)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</si>
</sst>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0\ %"/>
  </numFmts>
  <fonts count="18">
    <font>
      <sz val="11.0"/>
      <color theme="1"/>
      <name val="Calibri"/>
      <scheme val="minor"/>
    </font>
    <font>
      <b/>
      <sz val="10.0"/>
      <color rgb="FF1F4E79"/>
      <name val="Arial"/>
    </font>
    <font>
      <sz val="10.0"/>
      <color theme="1"/>
      <name val="Calibri"/>
    </font>
    <font>
      <b/>
      <sz val="10.0"/>
      <color theme="1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2.0"/>
      <color rgb="FF1F4E79"/>
      <name val="Arial"/>
    </font>
    <font>
      <sz val="8.0"/>
      <color rgb="FF000000"/>
      <name val="Arial"/>
    </font>
    <font>
      <b/>
      <u/>
      <sz val="10.0"/>
      <color rgb="FF0000FF"/>
      <name val="Arial"/>
    </font>
    <font>
      <sz val="10.0"/>
      <color theme="0"/>
      <name val="Arial"/>
    </font>
    <font>
      <sz val="11.0"/>
      <color rgb="FFF0F6FC"/>
      <name val="Mona Sans"/>
    </font>
    <font>
      <sz val="11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sz val="11.0"/>
      <color theme="0"/>
      <name val="Arial"/>
    </font>
    <font>
      <sz val="11.0"/>
      <color theme="0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0D1117"/>
        <bgColor rgb="FF0D1117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right style="thin">
        <color rgb="FF8EA9DB"/>
      </right>
      <top style="thin">
        <color rgb="FF8EA9DB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2" fillId="0" fontId="4" numFmtId="0" xfId="0" applyBorder="1" applyFont="1"/>
    <xf borderId="1" fillId="0" fontId="3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3" fillId="2" fontId="5" numFmtId="0" xfId="0" applyAlignment="1" applyBorder="1" applyFill="1" applyFont="1">
      <alignment horizontal="center" shrinkToFit="0" vertical="center" wrapText="0"/>
    </xf>
    <xf borderId="3" fillId="3" fontId="6" numFmtId="0" xfId="0" applyAlignment="1" applyBorder="1" applyFill="1" applyFont="1">
      <alignment horizontal="left" shrinkToFit="0" vertical="center" wrapText="1"/>
    </xf>
    <xf borderId="3" fillId="3" fontId="6" numFmtId="165" xfId="0" applyAlignment="1" applyBorder="1" applyFill="1" applyFont="1" applyNumberFormat="1">
      <alignment horizontal="center" shrinkToFit="0" vertical="center" wrapText="0"/>
    </xf>
    <xf borderId="3" fillId="3" fontId="6" numFmtId="2" xfId="0" applyAlignment="1" applyBorder="1" applyFill="1" applyFont="1" applyNumberFormat="1">
      <alignment horizontal="center" shrinkToFit="0" vertical="center" wrapText="0"/>
    </xf>
    <xf borderId="3" fillId="4" fontId="3" numFmtId="0" xfId="0" applyAlignment="1" applyBorder="1" applyFill="1" applyFont="1">
      <alignment horizontal="left" shrinkToFit="0" vertical="center" wrapText="1"/>
    </xf>
    <xf borderId="3" fillId="4" fontId="3" numFmtId="165" xfId="0" applyAlignment="1" applyBorder="1" applyFill="1" applyFont="1" applyNumberFormat="1">
      <alignment horizontal="center" shrinkToFit="0" vertical="center" wrapText="0"/>
    </xf>
    <xf borderId="3" fillId="4" fontId="3" numFmtId="2" xfId="0" applyAlignment="1" applyBorder="1" applyFill="1" applyFont="1" applyNumberFormat="1">
      <alignment horizontal="center" shrinkToFit="0" vertical="center" wrapText="0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center" shrinkToFit="0" vertical="center" wrapText="0"/>
    </xf>
    <xf borderId="3" fillId="5" fontId="7" numFmtId="2" xfId="0" applyAlignment="1" applyBorder="1" applyFill="1" applyFont="1" applyNumberFormat="1">
      <alignment horizontal="center" readingOrder="0" shrinkToFit="0" vertical="center" wrapText="0"/>
    </xf>
    <xf borderId="3" fillId="5" fontId="7" numFmtId="2" xfId="0" applyAlignment="1" applyBorder="1" applyFill="1" applyFont="1" applyNumberFormat="1">
      <alignment horizontal="center" shrinkToFit="0" vertical="center" wrapText="0"/>
    </xf>
    <xf borderId="3" fillId="6" fontId="3" numFmtId="0" xfId="0" applyAlignment="1" applyBorder="1" applyFill="1" applyFont="1">
      <alignment horizontal="left" shrinkToFit="0" vertical="center" wrapText="1"/>
    </xf>
    <xf borderId="3" fillId="6" fontId="3" numFmtId="165" xfId="0" applyAlignment="1" applyBorder="1" applyFill="1" applyFont="1" applyNumberFormat="1">
      <alignment horizontal="center" shrinkToFit="0" vertical="center" wrapText="0"/>
    </xf>
    <xf borderId="3" fillId="6" fontId="3" numFmtId="0" xfId="0" applyAlignment="1" applyBorder="1" applyFill="1" applyFont="1">
      <alignment horizontal="center" shrinkToFit="0" vertical="center" wrapText="0"/>
    </xf>
    <xf borderId="3" fillId="6" fontId="3" numFmtId="2" xfId="0" applyAlignment="1" applyBorder="1" applyFill="1" applyFont="1" applyNumberFormat="1">
      <alignment horizontal="center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shrinkToFit="0" vertical="bottom" wrapText="0"/>
    </xf>
    <xf borderId="3" fillId="0" fontId="7" numFmtId="166" xfId="0" applyAlignment="1" applyBorder="1" applyFont="1" applyNumberFormat="1">
      <alignment horizontal="center" shrinkToFit="0" vertical="center" wrapText="0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7" numFmtId="2" xfId="0" applyAlignment="1" applyBorder="1" applyFont="1" applyNumberFormat="1">
      <alignment horizontal="center" shrinkToFit="0" vertical="center" wrapText="0"/>
    </xf>
    <xf borderId="3" fillId="7" fontId="3" numFmtId="0" xfId="0" applyAlignment="1" applyBorder="1" applyFill="1" applyFont="1">
      <alignment horizontal="left" shrinkToFit="0" vertical="center" wrapText="1"/>
    </xf>
    <xf borderId="3" fillId="7" fontId="3" numFmtId="0" xfId="0" applyAlignment="1" applyBorder="1" applyFill="1" applyFont="1">
      <alignment horizontal="center" shrinkToFit="0" vertical="center" wrapText="0"/>
    </xf>
    <xf borderId="3" fillId="7" fontId="3" numFmtId="2" xfId="0" applyAlignment="1" applyBorder="1" applyFill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4" fillId="0" fontId="2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6" fillId="0" fontId="4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3" fillId="2" fontId="5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0"/>
    </xf>
    <xf borderId="8" fillId="8" fontId="9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shrinkToFit="0" vertical="center" wrapText="0"/>
    </xf>
    <xf borderId="3" fillId="5" fontId="7" numFmtId="0" xfId="0" applyAlignment="1" applyBorder="1" applyFill="1" applyFont="1">
      <alignment horizontal="center" shrinkToFit="0" vertical="center" wrapText="0"/>
    </xf>
    <xf borderId="3" fillId="5" fontId="7" numFmtId="166" xfId="0" applyAlignment="1" applyBorder="1" applyFill="1" applyFont="1" applyNumberFormat="1">
      <alignment horizontal="center" shrinkToFit="0" vertical="center" wrapText="0"/>
    </xf>
    <xf borderId="3" fillId="0" fontId="3" numFmtId="2" xfId="0" applyAlignment="1" applyBorder="1" applyFont="1" applyNumberFormat="1">
      <alignment horizontal="center" shrinkToFit="0" vertical="center" wrapText="0"/>
    </xf>
    <xf borderId="4" fillId="0" fontId="3" numFmtId="2" xfId="0" applyAlignment="1" applyBorder="1" applyFont="1" applyNumberFormat="1">
      <alignment horizontal="left" shrinkToFit="0" vertical="center" wrapText="0"/>
    </xf>
    <xf borderId="4" fillId="0" fontId="10" numFmtId="2" xfId="0" applyAlignment="1" applyBorder="1" applyFont="1" applyNumberFormat="1">
      <alignment horizontal="left"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10" fillId="9" fontId="12" numFmtId="0" xfId="0" applyAlignment="1" applyBorder="1" applyFill="1" applyFont="1">
      <alignment shrinkToFit="0" vertical="bottom" wrapText="0"/>
    </xf>
    <xf borderId="3" fillId="0" fontId="3" numFmtId="0" xfId="0" applyAlignment="1" applyBorder="1" applyFont="1">
      <alignment horizontal="right" shrinkToFit="0" vertical="center" wrapText="0"/>
    </xf>
    <xf borderId="3" fillId="6" fontId="3" numFmtId="1" xfId="0" applyAlignment="1" applyBorder="1" applyFill="1" applyFont="1" applyNumberFormat="1">
      <alignment horizontal="center" shrinkToFit="0" vertical="center" wrapText="0"/>
    </xf>
    <xf borderId="0" fillId="0" fontId="13" numFmtId="0" xfId="0" applyAlignment="1" applyFont="1">
      <alignment horizontal="center" shrinkToFit="0" vertical="bottom" wrapText="0"/>
    </xf>
    <xf borderId="0" fillId="0" fontId="14" numFmtId="2" xfId="0" applyAlignment="1" applyFont="1" applyNumberForma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center" shrinkToFit="0" vertical="bottom" wrapText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3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MARTA GABRIELA GÓMEZ DIMAYUGA</v>
      </c>
      <c r="D11" s="7"/>
    </row>
    <row r="12">
      <c r="A12" s="5" t="s">
        <v>10</v>
      </c>
      <c r="C12" s="8">
        <v>2.01503481E8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 t="str">
        <f>IF(N(D16)+N(D21)+N(D25)=0,"",N(D16)+N(D21)+N(D25))</f>
        <v/>
      </c>
    </row>
    <row r="16" ht="18.0" customHeight="1">
      <c r="A16" s="14" t="s">
        <v>16</v>
      </c>
      <c r="B16" s="15">
        <f>SUM(B17:B20)</f>
        <v>6</v>
      </c>
      <c r="C16" s="14"/>
      <c r="D16" s="16" t="str">
        <f>IF(SUM(D17:D20)=0,"",SUM(D17:D20))</f>
        <v/>
      </c>
    </row>
    <row r="17" ht="15.0" customHeight="1">
      <c r="A17" s="17" t="s">
        <v>17</v>
      </c>
      <c r="B17" s="18">
        <v>2.0</v>
      </c>
      <c r="C17" s="17"/>
      <c r="D17" s="20"/>
    </row>
    <row r="18" ht="15.0" customHeight="1">
      <c r="A18" s="17" t="s">
        <v>18</v>
      </c>
      <c r="B18" s="18">
        <v>1.5</v>
      </c>
      <c r="C18" s="17"/>
      <c r="D18" s="20"/>
    </row>
    <row r="19" ht="15.0" customHeight="1">
      <c r="A19" s="17" t="s">
        <v>19</v>
      </c>
      <c r="B19" s="18">
        <v>1.5</v>
      </c>
      <c r="C19" s="17"/>
      <c r="D19" s="20"/>
    </row>
    <row r="20" ht="15.0" customHeight="1">
      <c r="A20" s="17" t="s">
        <v>20</v>
      </c>
      <c r="B20" s="18">
        <v>1.0</v>
      </c>
      <c r="C20" s="17"/>
      <c r="D20" s="20"/>
    </row>
    <row r="21" ht="18.0" customHeight="1">
      <c r="A21" s="14" t="s">
        <v>21</v>
      </c>
      <c r="B21" s="15">
        <f>SUM(B22:B24)</f>
        <v>4</v>
      </c>
      <c r="C21" s="14"/>
      <c r="D21" s="16" t="str">
        <f>IF(SUM(D22:D24)=0,"",SUM(D22:D24))</f>
        <v/>
      </c>
    </row>
    <row r="22" ht="15.0" customHeight="1">
      <c r="A22" s="17" t="s">
        <v>22</v>
      </c>
      <c r="B22" s="18">
        <v>1.0</v>
      </c>
      <c r="C22" s="17"/>
      <c r="D22" s="20"/>
    </row>
    <row r="23" ht="15.0" customHeight="1">
      <c r="A23" s="17" t="s">
        <v>23</v>
      </c>
      <c r="B23" s="18">
        <v>2.0</v>
      </c>
      <c r="C23" s="17"/>
      <c r="D23" s="20"/>
    </row>
    <row r="24" ht="15.0" customHeight="1">
      <c r="A24" s="17" t="s">
        <v>24</v>
      </c>
      <c r="B24" s="18">
        <v>1.0</v>
      </c>
      <c r="C24" s="17"/>
      <c r="D24" s="20"/>
    </row>
    <row r="25" ht="18.0" customHeight="1">
      <c r="A25" s="14" t="s">
        <v>25</v>
      </c>
      <c r="B25" s="15">
        <f>SUM(B26:B28)</f>
        <v>5</v>
      </c>
      <c r="C25" s="14"/>
      <c r="D25" s="16" t="str">
        <f>IF(SUM(D26:D28)=0,"",SUM(D26:D28))</f>
        <v/>
      </c>
    </row>
    <row r="26" ht="15.0" customHeight="1">
      <c r="A26" s="17" t="s">
        <v>26</v>
      </c>
      <c r="B26" s="18">
        <v>2.0</v>
      </c>
      <c r="C26" s="17"/>
      <c r="D26" s="20"/>
    </row>
    <row r="27" ht="15.0" customHeight="1">
      <c r="A27" s="17" t="s">
        <v>27</v>
      </c>
      <c r="B27" s="18">
        <v>1.0</v>
      </c>
      <c r="C27" s="17"/>
      <c r="D27" s="20"/>
    </row>
    <row r="28" ht="15.0" customHeight="1">
      <c r="A28" s="17" t="s">
        <v>28</v>
      </c>
      <c r="B28" s="18">
        <v>2.0</v>
      </c>
      <c r="C28" s="17"/>
      <c r="D28" s="20"/>
    </row>
    <row r="29" ht="19.5" customHeight="1">
      <c r="A29" s="11" t="s">
        <v>29</v>
      </c>
      <c r="B29" s="12">
        <f>B30+B34+B37+B42+B45+B48+B53+B56+B59</f>
        <v>35</v>
      </c>
      <c r="C29" s="11"/>
      <c r="D29" s="13" t="str">
        <f>IF(N(D30)+N(D34)+N(D37)+N(D42)+N(D45)+N(D48)+N(D53)+N(D56)+N(D59)=0,"",N(D30)+N(D34)+N(D37)+N(D42)+N(D45)+N(D48)+N(D53)+N(D56)+N(D59))</f>
        <v/>
      </c>
    </row>
    <row r="30" ht="18.0" customHeight="1">
      <c r="A30" s="14" t="s">
        <v>30</v>
      </c>
      <c r="B30" s="15">
        <f>SUM(B31:B33)</f>
        <v>5</v>
      </c>
      <c r="C30" s="14"/>
      <c r="D30" s="16" t="str">
        <f>IF(SUM(D31:D33)=0,"",SUM(D31:D33))</f>
        <v/>
      </c>
    </row>
    <row r="31" ht="15.0" customHeight="1">
      <c r="A31" s="17" t="s">
        <v>31</v>
      </c>
      <c r="B31" s="18">
        <v>2.0</v>
      </c>
      <c r="C31" s="17"/>
      <c r="D31" s="20"/>
    </row>
    <row r="32" ht="15.0" customHeight="1">
      <c r="A32" s="17" t="s">
        <v>32</v>
      </c>
      <c r="B32" s="18">
        <v>2.0</v>
      </c>
      <c r="C32" s="17"/>
      <c r="D32" s="20"/>
    </row>
    <row r="33" ht="15.0" customHeight="1">
      <c r="A33" s="17" t="s">
        <v>33</v>
      </c>
      <c r="B33" s="18">
        <v>1.0</v>
      </c>
      <c r="C33" s="17"/>
      <c r="D33" s="20"/>
    </row>
    <row r="34" ht="18.0" customHeight="1">
      <c r="A34" s="14" t="s">
        <v>34</v>
      </c>
      <c r="B34" s="15">
        <f>SUM(B35:B36)</f>
        <v>3</v>
      </c>
      <c r="C34" s="14"/>
      <c r="D34" s="16" t="str">
        <f>IF(SUM(D35:D36)=0,"",SUM(D35:D36))</f>
        <v/>
      </c>
    </row>
    <row r="35" ht="15.0" customHeight="1">
      <c r="A35" s="17" t="s">
        <v>35</v>
      </c>
      <c r="B35" s="18">
        <v>2.0</v>
      </c>
      <c r="C35" s="17"/>
      <c r="D35" s="20"/>
    </row>
    <row r="36" ht="15.0" customHeight="1">
      <c r="A36" s="17" t="s">
        <v>36</v>
      </c>
      <c r="B36" s="18">
        <v>1.0</v>
      </c>
      <c r="C36" s="17"/>
      <c r="D36" s="20"/>
    </row>
    <row r="37" ht="18.0" customHeight="1">
      <c r="A37" s="14" t="s">
        <v>37</v>
      </c>
      <c r="B37" s="15">
        <f>SUM(B38:B41)</f>
        <v>7</v>
      </c>
      <c r="C37" s="14"/>
      <c r="D37" s="16" t="str">
        <f>IF(SUM(D38:D41)=0,"",SUM(D38:D41))</f>
        <v/>
      </c>
    </row>
    <row r="38" ht="15.0" customHeight="1">
      <c r="A38" s="17" t="s">
        <v>38</v>
      </c>
      <c r="B38" s="18">
        <v>2.0</v>
      </c>
      <c r="C38" s="17"/>
      <c r="D38" s="20"/>
    </row>
    <row r="39" ht="15.0" customHeight="1">
      <c r="A39" s="17" t="s">
        <v>39</v>
      </c>
      <c r="B39" s="18">
        <v>2.0</v>
      </c>
      <c r="C39" s="17"/>
      <c r="D39" s="20"/>
    </row>
    <row r="40" ht="15.0" customHeight="1">
      <c r="A40" s="17" t="s">
        <v>40</v>
      </c>
      <c r="B40" s="18">
        <v>2.0</v>
      </c>
      <c r="C40" s="17"/>
      <c r="D40" s="20"/>
    </row>
    <row r="41" ht="15.0" customHeight="1">
      <c r="A41" s="17" t="s">
        <v>41</v>
      </c>
      <c r="B41" s="18">
        <v>1.0</v>
      </c>
      <c r="C41" s="17"/>
      <c r="D41" s="20"/>
    </row>
    <row r="42" ht="18.0" customHeight="1">
      <c r="A42" s="14" t="s">
        <v>42</v>
      </c>
      <c r="B42" s="15">
        <f>SUM(B43:B44)</f>
        <v>3</v>
      </c>
      <c r="C42" s="14"/>
      <c r="D42" s="16" t="str">
        <f>IF(SUM(D43:D44)=0,"",SUM(D43:D44))</f>
        <v/>
      </c>
    </row>
    <row r="43" ht="15.0" customHeight="1">
      <c r="A43" s="17" t="s">
        <v>43</v>
      </c>
      <c r="B43" s="18">
        <v>1.5</v>
      </c>
      <c r="C43" s="17"/>
      <c r="D43" s="20"/>
    </row>
    <row r="44" ht="15.0" customHeight="1">
      <c r="A44" s="17" t="s">
        <v>44</v>
      </c>
      <c r="B44" s="18">
        <v>1.5</v>
      </c>
      <c r="C44" s="17"/>
      <c r="D44" s="20"/>
    </row>
    <row r="45" ht="18.0" customHeight="1">
      <c r="A45" s="14" t="s">
        <v>45</v>
      </c>
      <c r="B45" s="15">
        <f>SUM(B46:B47)</f>
        <v>2</v>
      </c>
      <c r="C45" s="14"/>
      <c r="D45" s="16" t="str">
        <f>IF(SUM(D46:D47)=0,"",SUM(D46:D47))</f>
        <v/>
      </c>
    </row>
    <row r="46" ht="15.0" customHeight="1">
      <c r="A46" s="17" t="s">
        <v>46</v>
      </c>
      <c r="B46" s="18">
        <v>1.0</v>
      </c>
      <c r="C46" s="17"/>
      <c r="D46" s="20"/>
    </row>
    <row r="47" ht="15.0" customHeight="1">
      <c r="A47" s="17" t="s">
        <v>47</v>
      </c>
      <c r="B47" s="18">
        <v>1.0</v>
      </c>
      <c r="C47" s="17"/>
      <c r="D47" s="20"/>
    </row>
    <row r="48" ht="18.0" customHeight="1">
      <c r="A48" s="14" t="s">
        <v>48</v>
      </c>
      <c r="B48" s="15">
        <f>SUM(B49:B52)</f>
        <v>6</v>
      </c>
      <c r="C48" s="14"/>
      <c r="D48" s="16" t="str">
        <f>IF(SUM(D49:D52)=0,"",SUM(D49:D52))</f>
        <v/>
      </c>
    </row>
    <row r="49" ht="15.0" customHeight="1">
      <c r="A49" s="17" t="s">
        <v>49</v>
      </c>
      <c r="B49" s="18">
        <v>2.0</v>
      </c>
      <c r="C49" s="17"/>
      <c r="D49" s="20"/>
    </row>
    <row r="50" ht="15.0" customHeight="1">
      <c r="A50" s="17" t="s">
        <v>50</v>
      </c>
      <c r="B50" s="18">
        <v>1.5</v>
      </c>
      <c r="C50" s="17"/>
      <c r="D50" s="20"/>
    </row>
    <row r="51" ht="15.0" customHeight="1">
      <c r="A51" s="17" t="s">
        <v>51</v>
      </c>
      <c r="B51" s="18">
        <v>1.5</v>
      </c>
      <c r="C51" s="17"/>
      <c r="D51" s="20"/>
    </row>
    <row r="52" ht="15.0" customHeight="1">
      <c r="A52" s="17" t="s">
        <v>52</v>
      </c>
      <c r="B52" s="18">
        <v>1.0</v>
      </c>
      <c r="C52" s="17"/>
      <c r="D52" s="20"/>
    </row>
    <row r="53" ht="18.0" customHeight="1">
      <c r="A53" s="14" t="s">
        <v>53</v>
      </c>
      <c r="B53" s="15">
        <f>SUM(B54:B55)</f>
        <v>2</v>
      </c>
      <c r="C53" s="14"/>
      <c r="D53" s="16" t="str">
        <f>IF(SUM(D54:D55)=0,"",SUM(D54:D55))</f>
        <v/>
      </c>
    </row>
    <row r="54" ht="15.0" customHeight="1">
      <c r="A54" s="17" t="s">
        <v>54</v>
      </c>
      <c r="B54" s="18">
        <v>1.0</v>
      </c>
      <c r="C54" s="17"/>
      <c r="D54" s="20"/>
    </row>
    <row r="55" ht="15.0" customHeight="1">
      <c r="A55" s="17" t="s">
        <v>55</v>
      </c>
      <c r="B55" s="18">
        <v>1.0</v>
      </c>
      <c r="C55" s="17"/>
      <c r="D55" s="20"/>
    </row>
    <row r="56" ht="18.0" customHeight="1">
      <c r="A56" s="14" t="s">
        <v>56</v>
      </c>
      <c r="B56" s="15">
        <f>SUM(B57:B58)</f>
        <v>2</v>
      </c>
      <c r="C56" s="14"/>
      <c r="D56" s="16" t="str">
        <f>IF(SUM(D57:D58)=0,"",SUM(D57:D58))</f>
        <v/>
      </c>
    </row>
    <row r="57" ht="15.0" customHeight="1">
      <c r="A57" s="17" t="s">
        <v>57</v>
      </c>
      <c r="B57" s="18">
        <v>1.0</v>
      </c>
      <c r="C57" s="17"/>
      <c r="D57" s="20"/>
    </row>
    <row r="58" ht="15.0" customHeight="1">
      <c r="A58" s="17" t="s">
        <v>58</v>
      </c>
      <c r="B58" s="18">
        <v>1.0</v>
      </c>
      <c r="C58" s="17"/>
      <c r="D58" s="20"/>
    </row>
    <row r="59" ht="18.0" customHeight="1">
      <c r="A59" s="14" t="s">
        <v>59</v>
      </c>
      <c r="B59" s="15">
        <f>SUM(B60:B63)</f>
        <v>5</v>
      </c>
      <c r="C59" s="14"/>
      <c r="D59" s="16" t="str">
        <f>IF(SUM(D60:D63)=0,"",SUM(D60:D63))</f>
        <v/>
      </c>
    </row>
    <row r="60" ht="15.0" customHeight="1">
      <c r="A60" s="17" t="s">
        <v>60</v>
      </c>
      <c r="B60" s="18">
        <v>2.0</v>
      </c>
      <c r="C60" s="17"/>
      <c r="D60" s="20"/>
    </row>
    <row r="61" ht="15.0" customHeight="1">
      <c r="A61" s="17" t="s">
        <v>61</v>
      </c>
      <c r="B61" s="18">
        <v>1.0</v>
      </c>
      <c r="C61" s="17"/>
      <c r="D61" s="20"/>
    </row>
    <row r="62" ht="15.0" customHeight="1">
      <c r="A62" s="17" t="s">
        <v>62</v>
      </c>
      <c r="B62" s="18">
        <v>1.0</v>
      </c>
      <c r="C62" s="17"/>
      <c r="D62" s="20"/>
    </row>
    <row r="63" ht="15.0" customHeight="1">
      <c r="A63" s="17" t="s">
        <v>63</v>
      </c>
      <c r="B63" s="18">
        <v>1.0</v>
      </c>
      <c r="C63" s="17"/>
      <c r="D63" s="20"/>
    </row>
    <row r="64" ht="19.5" customHeight="1">
      <c r="A64" s="11" t="s">
        <v>64</v>
      </c>
      <c r="B64" s="12">
        <f>B65+B71</f>
        <v>50</v>
      </c>
      <c r="C64" s="11"/>
      <c r="D64" s="13" t="str">
        <f>IF(N(D65)+N(D71)=0,"",N(D65)+N(D71))</f>
        <v/>
      </c>
    </row>
    <row r="65" ht="18.0" customHeight="1">
      <c r="A65" s="14" t="s">
        <v>65</v>
      </c>
      <c r="B65" s="15">
        <f>SUM(B66:B70)</f>
        <v>20</v>
      </c>
      <c r="C65" s="14"/>
      <c r="D65" s="16" t="str">
        <f>IF(SUM(D66:D70)=0,"",SUM(D66:D70))</f>
        <v/>
      </c>
    </row>
    <row r="66" ht="15.0" customHeight="1">
      <c r="A66" s="17" t="s">
        <v>66</v>
      </c>
      <c r="B66" s="18">
        <v>4.0</v>
      </c>
      <c r="C66" s="17"/>
      <c r="D66" s="20"/>
    </row>
    <row r="67" ht="15.0" customHeight="1">
      <c r="A67" s="17" t="s">
        <v>67</v>
      </c>
      <c r="B67" s="18">
        <v>4.0</v>
      </c>
      <c r="C67" s="17"/>
      <c r="D67" s="20"/>
    </row>
    <row r="68" ht="15.0" customHeight="1">
      <c r="A68" s="17" t="s">
        <v>68</v>
      </c>
      <c r="B68" s="18">
        <v>4.0</v>
      </c>
      <c r="C68" s="17"/>
      <c r="D68" s="20"/>
    </row>
    <row r="69" ht="15.0" customHeight="1">
      <c r="A69" s="17" t="s">
        <v>69</v>
      </c>
      <c r="B69" s="18">
        <v>4.0</v>
      </c>
      <c r="C69" s="17"/>
      <c r="D69" s="20"/>
    </row>
    <row r="70" ht="15.0" customHeight="1">
      <c r="A70" s="17" t="s">
        <v>70</v>
      </c>
      <c r="B70" s="18">
        <v>4.0</v>
      </c>
      <c r="C70" s="17"/>
      <c r="D70" s="20"/>
    </row>
    <row r="71" ht="18.0" customHeight="1">
      <c r="A71" s="14" t="s">
        <v>71</v>
      </c>
      <c r="B71" s="15">
        <f>SUM(B72:B74)</f>
        <v>30</v>
      </c>
      <c r="C71" s="14"/>
      <c r="D71" s="16" t="str">
        <f>IF(SUM(D72:D74)=0,"",SUM(D72:D74))</f>
        <v/>
      </c>
    </row>
    <row r="72" ht="15.0" customHeight="1">
      <c r="A72" s="17" t="s">
        <v>72</v>
      </c>
      <c r="B72" s="18">
        <v>8.0</v>
      </c>
      <c r="C72" s="17"/>
      <c r="D72" s="20"/>
    </row>
    <row r="73" ht="15.0" customHeight="1">
      <c r="A73" s="17" t="s">
        <v>73</v>
      </c>
      <c r="B73" s="18">
        <v>14.0</v>
      </c>
      <c r="C73" s="17"/>
      <c r="D73" s="20"/>
    </row>
    <row r="74" ht="15.0" customHeight="1">
      <c r="A74" s="17" t="s">
        <v>74</v>
      </c>
      <c r="B74" s="18">
        <v>8.0</v>
      </c>
      <c r="C74" s="17"/>
      <c r="D74" s="20"/>
    </row>
    <row r="75" ht="19.5" customHeight="1">
      <c r="A75" s="21" t="s">
        <v>75</v>
      </c>
      <c r="B75" s="22">
        <f>B15+B29+B64</f>
        <v>100</v>
      </c>
      <c r="C75" s="23"/>
      <c r="D75" s="24" t="str">
        <f>IF(N(D15)+N(D29)+N(D64)=0,"",N(D15)+N(D29)+N(D64))</f>
        <v/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 t="str">
        <f>IF(MAX(0,ROUND(N($D$75)+N($D$107),2))=0,"",MAX(0,ROUND(N($D$75)+N($D$107),2)))</f>
        <v/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3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MARTA GABRIELA GÓMEZ DIMAYUGA</v>
      </c>
      <c r="D11" s="7"/>
    </row>
    <row r="12">
      <c r="A12" s="5" t="s">
        <v>10</v>
      </c>
      <c r="C12" s="8">
        <v>2.01503481E8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 t="str">
        <f>IF(N(D16)+N(D21)+N(D25)=0,"",N(D16)+N(D21)+N(D25))</f>
        <v/>
      </c>
    </row>
    <row r="16" ht="18.0" customHeight="1">
      <c r="A16" s="14" t="s">
        <v>16</v>
      </c>
      <c r="B16" s="15">
        <f>SUM(B17:B20)</f>
        <v>6</v>
      </c>
      <c r="C16" s="14"/>
      <c r="D16" s="16" t="str">
        <f>IF(SUM(D17:D20)=0,"",SUM(D17:D20))</f>
        <v/>
      </c>
    </row>
    <row r="17" ht="15.0" customHeight="1">
      <c r="A17" s="17" t="s">
        <v>17</v>
      </c>
      <c r="B17" s="18">
        <v>2.0</v>
      </c>
      <c r="C17" s="17"/>
      <c r="D17" s="20"/>
    </row>
    <row r="18" ht="15.0" customHeight="1">
      <c r="A18" s="17" t="s">
        <v>18</v>
      </c>
      <c r="B18" s="18">
        <v>1.5</v>
      </c>
      <c r="C18" s="17"/>
      <c r="D18" s="20"/>
    </row>
    <row r="19" ht="15.0" customHeight="1">
      <c r="A19" s="17" t="s">
        <v>19</v>
      </c>
      <c r="B19" s="18">
        <v>1.5</v>
      </c>
      <c r="C19" s="17"/>
      <c r="D19" s="20"/>
    </row>
    <row r="20" ht="15.0" customHeight="1">
      <c r="A20" s="17" t="s">
        <v>20</v>
      </c>
      <c r="B20" s="18">
        <v>1.0</v>
      </c>
      <c r="C20" s="17"/>
      <c r="D20" s="20"/>
    </row>
    <row r="21" ht="18.0" customHeight="1">
      <c r="A21" s="14" t="s">
        <v>21</v>
      </c>
      <c r="B21" s="15">
        <f>SUM(B22:B24)</f>
        <v>4</v>
      </c>
      <c r="C21" s="14"/>
      <c r="D21" s="16" t="str">
        <f>IF(SUM(D22:D24)=0,"",SUM(D22:D24))</f>
        <v/>
      </c>
    </row>
    <row r="22" ht="15.0" customHeight="1">
      <c r="A22" s="17" t="s">
        <v>22</v>
      </c>
      <c r="B22" s="18">
        <v>1.0</v>
      </c>
      <c r="C22" s="17"/>
      <c r="D22" s="20"/>
    </row>
    <row r="23" ht="15.0" customHeight="1">
      <c r="A23" s="17" t="s">
        <v>23</v>
      </c>
      <c r="B23" s="18">
        <v>2.0</v>
      </c>
      <c r="C23" s="17"/>
      <c r="D23" s="20"/>
    </row>
    <row r="24" ht="15.0" customHeight="1">
      <c r="A24" s="17" t="s">
        <v>24</v>
      </c>
      <c r="B24" s="18">
        <v>1.0</v>
      </c>
      <c r="C24" s="17"/>
      <c r="D24" s="20"/>
    </row>
    <row r="25" ht="18.0" customHeight="1">
      <c r="A25" s="14" t="s">
        <v>25</v>
      </c>
      <c r="B25" s="15">
        <f>SUM(B26:B28)</f>
        <v>5</v>
      </c>
      <c r="C25" s="14"/>
      <c r="D25" s="16" t="str">
        <f>IF(SUM(D26:D28)=0,"",SUM(D26:D28))</f>
        <v/>
      </c>
    </row>
    <row r="26" ht="15.0" customHeight="1">
      <c r="A26" s="17" t="s">
        <v>26</v>
      </c>
      <c r="B26" s="18">
        <v>2.0</v>
      </c>
      <c r="C26" s="17"/>
      <c r="D26" s="20"/>
    </row>
    <row r="27" ht="15.0" customHeight="1">
      <c r="A27" s="17" t="s">
        <v>27</v>
      </c>
      <c r="B27" s="18">
        <v>1.0</v>
      </c>
      <c r="C27" s="17"/>
      <c r="D27" s="20"/>
    </row>
    <row r="28" ht="15.0" customHeight="1">
      <c r="A28" s="17" t="s">
        <v>28</v>
      </c>
      <c r="B28" s="18">
        <v>2.0</v>
      </c>
      <c r="C28" s="17"/>
      <c r="D28" s="20"/>
    </row>
    <row r="29" ht="19.5" customHeight="1">
      <c r="A29" s="11" t="s">
        <v>29</v>
      </c>
      <c r="B29" s="12">
        <f>B30+B34+B37+B42+B45+B48+B53+B56+B59</f>
        <v>35</v>
      </c>
      <c r="C29" s="11"/>
      <c r="D29" s="13" t="str">
        <f>IF(N(D30)+N(D34)+N(D37)+N(D42)+N(D45)+N(D48)+N(D53)+N(D56)+N(D59)=0,"",N(D30)+N(D34)+N(D37)+N(D42)+N(D45)+N(D48)+N(D53)+N(D56)+N(D59))</f>
        <v/>
      </c>
    </row>
    <row r="30" ht="18.0" customHeight="1">
      <c r="A30" s="14" t="s">
        <v>30</v>
      </c>
      <c r="B30" s="15">
        <f>SUM(B31:B33)</f>
        <v>5</v>
      </c>
      <c r="C30" s="14"/>
      <c r="D30" s="16" t="str">
        <f>IF(SUM(D31:D33)=0,"",SUM(D31:D33))</f>
        <v/>
      </c>
    </row>
    <row r="31" ht="15.0" customHeight="1">
      <c r="A31" s="17" t="s">
        <v>31</v>
      </c>
      <c r="B31" s="18">
        <v>2.0</v>
      </c>
      <c r="C31" s="17"/>
      <c r="D31" s="20"/>
    </row>
    <row r="32" ht="15.0" customHeight="1">
      <c r="A32" s="17" t="s">
        <v>32</v>
      </c>
      <c r="B32" s="18">
        <v>2.0</v>
      </c>
      <c r="C32" s="17"/>
      <c r="D32" s="20"/>
    </row>
    <row r="33" ht="15.0" customHeight="1">
      <c r="A33" s="17" t="s">
        <v>33</v>
      </c>
      <c r="B33" s="18">
        <v>1.0</v>
      </c>
      <c r="C33" s="17"/>
      <c r="D33" s="20"/>
    </row>
    <row r="34" ht="18.0" customHeight="1">
      <c r="A34" s="14" t="s">
        <v>34</v>
      </c>
      <c r="B34" s="15">
        <f>SUM(B35:B36)</f>
        <v>3</v>
      </c>
      <c r="C34" s="14"/>
      <c r="D34" s="16" t="str">
        <f>IF(SUM(D35:D36)=0,"",SUM(D35:D36))</f>
        <v/>
      </c>
    </row>
    <row r="35" ht="15.0" customHeight="1">
      <c r="A35" s="17" t="s">
        <v>35</v>
      </c>
      <c r="B35" s="18">
        <v>2.0</v>
      </c>
      <c r="C35" s="17"/>
      <c r="D35" s="20"/>
    </row>
    <row r="36" ht="15.0" customHeight="1">
      <c r="A36" s="17" t="s">
        <v>36</v>
      </c>
      <c r="B36" s="18">
        <v>1.0</v>
      </c>
      <c r="C36" s="17"/>
      <c r="D36" s="20"/>
    </row>
    <row r="37" ht="18.0" customHeight="1">
      <c r="A37" s="14" t="s">
        <v>37</v>
      </c>
      <c r="B37" s="15">
        <f>SUM(B38:B41)</f>
        <v>7</v>
      </c>
      <c r="C37" s="14"/>
      <c r="D37" s="16" t="str">
        <f>IF(SUM(D38:D41)=0,"",SUM(D38:D41))</f>
        <v/>
      </c>
    </row>
    <row r="38" ht="15.0" customHeight="1">
      <c r="A38" s="17" t="s">
        <v>38</v>
      </c>
      <c r="B38" s="18">
        <v>2.0</v>
      </c>
      <c r="C38" s="17"/>
      <c r="D38" s="20"/>
    </row>
    <row r="39" ht="15.0" customHeight="1">
      <c r="A39" s="17" t="s">
        <v>39</v>
      </c>
      <c r="B39" s="18">
        <v>2.0</v>
      </c>
      <c r="C39" s="17"/>
      <c r="D39" s="20"/>
    </row>
    <row r="40" ht="15.0" customHeight="1">
      <c r="A40" s="17" t="s">
        <v>40</v>
      </c>
      <c r="B40" s="18">
        <v>2.0</v>
      </c>
      <c r="C40" s="17"/>
      <c r="D40" s="20"/>
    </row>
    <row r="41" ht="15.0" customHeight="1">
      <c r="A41" s="17" t="s">
        <v>41</v>
      </c>
      <c r="B41" s="18">
        <v>1.0</v>
      </c>
      <c r="C41" s="17"/>
      <c r="D41" s="20"/>
    </row>
    <row r="42" ht="18.0" customHeight="1">
      <c r="A42" s="14" t="s">
        <v>42</v>
      </c>
      <c r="B42" s="15">
        <f>SUM(B43:B44)</f>
        <v>3</v>
      </c>
      <c r="C42" s="14"/>
      <c r="D42" s="16" t="str">
        <f>IF(SUM(D43:D44)=0,"",SUM(D43:D44))</f>
        <v/>
      </c>
    </row>
    <row r="43" ht="15.0" customHeight="1">
      <c r="A43" s="17" t="s">
        <v>43</v>
      </c>
      <c r="B43" s="18">
        <v>1.5</v>
      </c>
      <c r="C43" s="17"/>
      <c r="D43" s="20"/>
    </row>
    <row r="44" ht="15.0" customHeight="1">
      <c r="A44" s="17" t="s">
        <v>44</v>
      </c>
      <c r="B44" s="18">
        <v>1.5</v>
      </c>
      <c r="C44" s="17"/>
      <c r="D44" s="20"/>
    </row>
    <row r="45" ht="18.0" customHeight="1">
      <c r="A45" s="14" t="s">
        <v>45</v>
      </c>
      <c r="B45" s="15">
        <f>SUM(B46:B47)</f>
        <v>2</v>
      </c>
      <c r="C45" s="14"/>
      <c r="D45" s="16" t="str">
        <f>IF(SUM(D46:D47)=0,"",SUM(D46:D47))</f>
        <v/>
      </c>
    </row>
    <row r="46" ht="15.0" customHeight="1">
      <c r="A46" s="17" t="s">
        <v>46</v>
      </c>
      <c r="B46" s="18">
        <v>1.0</v>
      </c>
      <c r="C46" s="17"/>
      <c r="D46" s="20"/>
    </row>
    <row r="47" ht="15.0" customHeight="1">
      <c r="A47" s="17" t="s">
        <v>47</v>
      </c>
      <c r="B47" s="18">
        <v>1.0</v>
      </c>
      <c r="C47" s="17"/>
      <c r="D47" s="20"/>
    </row>
    <row r="48" ht="18.0" customHeight="1">
      <c r="A48" s="14" t="s">
        <v>48</v>
      </c>
      <c r="B48" s="15">
        <f>SUM(B49:B52)</f>
        <v>6</v>
      </c>
      <c r="C48" s="14"/>
      <c r="D48" s="16" t="str">
        <f>IF(SUM(D49:D52)=0,"",SUM(D49:D52))</f>
        <v/>
      </c>
    </row>
    <row r="49" ht="15.0" customHeight="1">
      <c r="A49" s="17" t="s">
        <v>49</v>
      </c>
      <c r="B49" s="18">
        <v>2.0</v>
      </c>
      <c r="C49" s="17"/>
      <c r="D49" s="20"/>
    </row>
    <row r="50" ht="15.0" customHeight="1">
      <c r="A50" s="17" t="s">
        <v>50</v>
      </c>
      <c r="B50" s="18">
        <v>1.5</v>
      </c>
      <c r="C50" s="17"/>
      <c r="D50" s="20"/>
    </row>
    <row r="51" ht="15.0" customHeight="1">
      <c r="A51" s="17" t="s">
        <v>51</v>
      </c>
      <c r="B51" s="18">
        <v>1.5</v>
      </c>
      <c r="C51" s="17"/>
      <c r="D51" s="20"/>
    </row>
    <row r="52" ht="15.0" customHeight="1">
      <c r="A52" s="17" t="s">
        <v>52</v>
      </c>
      <c r="B52" s="18">
        <v>1.0</v>
      </c>
      <c r="C52" s="17"/>
      <c r="D52" s="20"/>
    </row>
    <row r="53" ht="18.0" customHeight="1">
      <c r="A53" s="14" t="s">
        <v>53</v>
      </c>
      <c r="B53" s="15">
        <f>SUM(B54:B55)</f>
        <v>2</v>
      </c>
      <c r="C53" s="14"/>
      <c r="D53" s="16" t="str">
        <f>IF(SUM(D54:D55)=0,"",SUM(D54:D55))</f>
        <v/>
      </c>
    </row>
    <row r="54" ht="15.0" customHeight="1">
      <c r="A54" s="17" t="s">
        <v>54</v>
      </c>
      <c r="B54" s="18">
        <v>1.0</v>
      </c>
      <c r="C54" s="17"/>
      <c r="D54" s="20"/>
    </row>
    <row r="55" ht="15.0" customHeight="1">
      <c r="A55" s="17" t="s">
        <v>55</v>
      </c>
      <c r="B55" s="18">
        <v>1.0</v>
      </c>
      <c r="C55" s="17"/>
      <c r="D55" s="20"/>
    </row>
    <row r="56" ht="18.0" customHeight="1">
      <c r="A56" s="14" t="s">
        <v>56</v>
      </c>
      <c r="B56" s="15">
        <f>SUM(B57:B58)</f>
        <v>2</v>
      </c>
      <c r="C56" s="14"/>
      <c r="D56" s="16" t="str">
        <f>IF(SUM(D57:D58)=0,"",SUM(D57:D58))</f>
        <v/>
      </c>
    </row>
    <row r="57" ht="15.0" customHeight="1">
      <c r="A57" s="17" t="s">
        <v>57</v>
      </c>
      <c r="B57" s="18">
        <v>1.0</v>
      </c>
      <c r="C57" s="17"/>
      <c r="D57" s="20"/>
    </row>
    <row r="58" ht="15.0" customHeight="1">
      <c r="A58" s="17" t="s">
        <v>58</v>
      </c>
      <c r="B58" s="18">
        <v>1.0</v>
      </c>
      <c r="C58" s="17"/>
      <c r="D58" s="20"/>
    </row>
    <row r="59" ht="18.0" customHeight="1">
      <c r="A59" s="14" t="s">
        <v>59</v>
      </c>
      <c r="B59" s="15">
        <f>SUM(B60:B63)</f>
        <v>5</v>
      </c>
      <c r="C59" s="14"/>
      <c r="D59" s="16" t="str">
        <f>IF(SUM(D60:D63)=0,"",SUM(D60:D63))</f>
        <v/>
      </c>
    </row>
    <row r="60" ht="15.0" customHeight="1">
      <c r="A60" s="17" t="s">
        <v>60</v>
      </c>
      <c r="B60" s="18">
        <v>2.0</v>
      </c>
      <c r="C60" s="17"/>
      <c r="D60" s="20"/>
    </row>
    <row r="61" ht="15.0" customHeight="1">
      <c r="A61" s="17" t="s">
        <v>61</v>
      </c>
      <c r="B61" s="18">
        <v>1.0</v>
      </c>
      <c r="C61" s="17"/>
      <c r="D61" s="20"/>
    </row>
    <row r="62" ht="15.0" customHeight="1">
      <c r="A62" s="17" t="s">
        <v>62</v>
      </c>
      <c r="B62" s="18">
        <v>1.0</v>
      </c>
      <c r="C62" s="17"/>
      <c r="D62" s="20"/>
    </row>
    <row r="63" ht="15.0" customHeight="1">
      <c r="A63" s="17" t="s">
        <v>63</v>
      </c>
      <c r="B63" s="18">
        <v>1.0</v>
      </c>
      <c r="C63" s="17"/>
      <c r="D63" s="20"/>
    </row>
    <row r="64" ht="19.5" customHeight="1">
      <c r="A64" s="11" t="s">
        <v>64</v>
      </c>
      <c r="B64" s="12">
        <f>B65+B71</f>
        <v>50</v>
      </c>
      <c r="C64" s="11"/>
      <c r="D64" s="13" t="str">
        <f>IF(N(D65)+N(D71)=0,"",N(D65)+N(D71))</f>
        <v/>
      </c>
    </row>
    <row r="65" ht="18.0" customHeight="1">
      <c r="A65" s="14" t="s">
        <v>65</v>
      </c>
      <c r="B65" s="15">
        <f>SUM(B66:B70)</f>
        <v>20</v>
      </c>
      <c r="C65" s="14"/>
      <c r="D65" s="16" t="str">
        <f>IF(SUM(D66:D70)=0,"",SUM(D66:D70))</f>
        <v/>
      </c>
    </row>
    <row r="66" ht="15.0" customHeight="1">
      <c r="A66" s="17" t="s">
        <v>66</v>
      </c>
      <c r="B66" s="18">
        <v>4.0</v>
      </c>
      <c r="C66" s="17"/>
      <c r="D66" s="20"/>
    </row>
    <row r="67" ht="15.0" customHeight="1">
      <c r="A67" s="17" t="s">
        <v>67</v>
      </c>
      <c r="B67" s="18">
        <v>4.0</v>
      </c>
      <c r="C67" s="17"/>
      <c r="D67" s="20"/>
    </row>
    <row r="68" ht="15.0" customHeight="1">
      <c r="A68" s="17" t="s">
        <v>68</v>
      </c>
      <c r="B68" s="18">
        <v>4.0</v>
      </c>
      <c r="C68" s="17"/>
      <c r="D68" s="20"/>
    </row>
    <row r="69" ht="15.0" customHeight="1">
      <c r="A69" s="17" t="s">
        <v>69</v>
      </c>
      <c r="B69" s="18">
        <v>4.0</v>
      </c>
      <c r="C69" s="17"/>
      <c r="D69" s="20"/>
    </row>
    <row r="70" ht="15.0" customHeight="1">
      <c r="A70" s="17" t="s">
        <v>70</v>
      </c>
      <c r="B70" s="18">
        <v>4.0</v>
      </c>
      <c r="C70" s="17"/>
      <c r="D70" s="20"/>
    </row>
    <row r="71" ht="18.0" customHeight="1">
      <c r="A71" s="14" t="s">
        <v>71</v>
      </c>
      <c r="B71" s="15">
        <f>SUM(B72:B74)</f>
        <v>30</v>
      </c>
      <c r="C71" s="14"/>
      <c r="D71" s="16" t="str">
        <f>IF(SUM(D72:D74)=0,"",SUM(D72:D74))</f>
        <v/>
      </c>
    </row>
    <row r="72" ht="15.0" customHeight="1">
      <c r="A72" s="17" t="s">
        <v>72</v>
      </c>
      <c r="B72" s="18">
        <v>8.0</v>
      </c>
      <c r="C72" s="17"/>
      <c r="D72" s="20"/>
    </row>
    <row r="73" ht="15.0" customHeight="1">
      <c r="A73" s="17" t="s">
        <v>73</v>
      </c>
      <c r="B73" s="18">
        <v>14.0</v>
      </c>
      <c r="C73" s="17"/>
      <c r="D73" s="20"/>
    </row>
    <row r="74" ht="15.0" customHeight="1">
      <c r="A74" s="17" t="s">
        <v>74</v>
      </c>
      <c r="B74" s="18">
        <v>8.0</v>
      </c>
      <c r="C74" s="17"/>
      <c r="D74" s="20"/>
    </row>
    <row r="75" ht="19.5" customHeight="1">
      <c r="A75" s="21" t="s">
        <v>75</v>
      </c>
      <c r="B75" s="22">
        <f>B15+B29+B64</f>
        <v>100</v>
      </c>
      <c r="C75" s="23"/>
      <c r="D75" s="24" t="str">
        <f>IF(N(D15)+N(D29)+N(D64)=0,"",N(D15)+N(D29)+N(D64))</f>
        <v/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 t="str">
        <f>IF(MAX(0,ROUND(N($D$75)+N($D$107),2))=0,"",MAX(0,ROUND(N($D$75)+N($D$107),2)))</f>
        <v/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2:B12"/>
    <mergeCell ref="C12:D12"/>
    <mergeCell ref="A112:D112"/>
    <mergeCell ref="A113:D113"/>
    <mergeCell ref="A8:D8"/>
    <mergeCell ref="A10:B10"/>
    <mergeCell ref="C10:D10"/>
    <mergeCell ref="A11:B11"/>
    <mergeCell ref="C11:D11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2.02407699E8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12.5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4.5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0.5</v>
      </c>
    </row>
    <row r="19" ht="15.0" customHeight="1">
      <c r="A19" s="17" t="s">
        <v>19</v>
      </c>
      <c r="B19" s="18">
        <v>1.5</v>
      </c>
      <c r="C19" s="17"/>
      <c r="D19" s="19">
        <v>1.0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3</v>
      </c>
    </row>
    <row r="22" ht="15.0" customHeight="1">
      <c r="A22" s="17" t="s">
        <v>22</v>
      </c>
      <c r="B22" s="18">
        <v>1.0</v>
      </c>
      <c r="C22" s="17"/>
      <c r="D22" s="19">
        <v>0.0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19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4</v>
      </c>
    </row>
    <row r="66" ht="15.0" customHeight="1">
      <c r="A66" s="17" t="s">
        <v>66</v>
      </c>
      <c r="B66" s="18">
        <v>4.0</v>
      </c>
      <c r="C66" s="17"/>
      <c r="D66" s="19">
        <v>0.0</v>
      </c>
    </row>
    <row r="67" ht="15.0" customHeight="1">
      <c r="A67" s="17" t="s">
        <v>67</v>
      </c>
      <c r="B67" s="18">
        <v>4.0</v>
      </c>
      <c r="C67" s="17"/>
      <c r="D67" s="19">
        <v>0.0</v>
      </c>
    </row>
    <row r="68" ht="15.0" customHeight="1">
      <c r="A68" s="17" t="s">
        <v>68</v>
      </c>
      <c r="B68" s="18">
        <v>4.0</v>
      </c>
      <c r="C68" s="17"/>
      <c r="D68" s="19">
        <v>2.0</v>
      </c>
    </row>
    <row r="69" ht="15.0" customHeight="1">
      <c r="A69" s="17" t="s">
        <v>69</v>
      </c>
      <c r="B69" s="18">
        <v>4.0</v>
      </c>
      <c r="C69" s="17"/>
      <c r="D69" s="19">
        <v>2.0</v>
      </c>
    </row>
    <row r="70" ht="15.0" customHeight="1">
      <c r="A70" s="17" t="s">
        <v>70</v>
      </c>
      <c r="B70" s="18">
        <v>4.0</v>
      </c>
      <c r="C70" s="17"/>
      <c r="D70" s="19">
        <v>0.0</v>
      </c>
    </row>
    <row r="71" ht="18.0" customHeight="1">
      <c r="A71" s="14" t="s">
        <v>71</v>
      </c>
      <c r="B71" s="15">
        <f>SUM(B72:B74)</f>
        <v>30</v>
      </c>
      <c r="C71" s="14"/>
      <c r="D71" s="16">
        <f>IF(SUM(D72:D74)=0,"",SUM(D72:D74))</f>
        <v>15</v>
      </c>
    </row>
    <row r="72" ht="15.0" customHeight="1">
      <c r="A72" s="17" t="s">
        <v>72</v>
      </c>
      <c r="B72" s="18">
        <v>8.0</v>
      </c>
      <c r="C72" s="17"/>
      <c r="D72" s="19">
        <v>4.0</v>
      </c>
    </row>
    <row r="73" ht="15.0" customHeight="1">
      <c r="A73" s="17" t="s">
        <v>73</v>
      </c>
      <c r="B73" s="18">
        <v>14.0</v>
      </c>
      <c r="C73" s="17"/>
      <c r="D73" s="19">
        <v>5.0</v>
      </c>
    </row>
    <row r="74" ht="15.0" customHeight="1">
      <c r="A74" s="17" t="s">
        <v>74</v>
      </c>
      <c r="B74" s="18">
        <v>8.0</v>
      </c>
      <c r="C74" s="17"/>
      <c r="D74" s="19">
        <v>6.0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66.5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9" t="s">
        <v>92</v>
      </c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9" t="s">
        <v>92</v>
      </c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66.5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2.02400066E8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7.5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5.5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1.0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2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0.0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/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11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11</v>
      </c>
    </row>
    <row r="66" ht="15.0" customHeight="1">
      <c r="A66" s="17" t="s">
        <v>66</v>
      </c>
      <c r="B66" s="18">
        <v>4.0</v>
      </c>
      <c r="C66" s="17"/>
      <c r="D66" s="19">
        <v>4.0</v>
      </c>
    </row>
    <row r="67" ht="15.0" customHeight="1">
      <c r="A67" s="17" t="s">
        <v>67</v>
      </c>
      <c r="B67" s="18">
        <v>4.0</v>
      </c>
      <c r="C67" s="17"/>
      <c r="D67" s="19">
        <v>3.0</v>
      </c>
    </row>
    <row r="68" ht="15.0" customHeight="1">
      <c r="A68" s="17" t="s">
        <v>68</v>
      </c>
      <c r="B68" s="18">
        <v>4.0</v>
      </c>
      <c r="C68" s="17"/>
      <c r="D68" s="19">
        <v>3.0</v>
      </c>
    </row>
    <row r="69" ht="15.0" customHeight="1">
      <c r="A69" s="17" t="s">
        <v>69</v>
      </c>
      <c r="B69" s="18">
        <v>4.0</v>
      </c>
      <c r="C69" s="17"/>
      <c r="D69" s="19">
        <v>1.0</v>
      </c>
    </row>
    <row r="70" ht="15.0" customHeight="1">
      <c r="A70" s="17" t="s">
        <v>70</v>
      </c>
      <c r="B70" s="18">
        <v>4.0</v>
      </c>
      <c r="C70" s="17"/>
      <c r="D70" s="19">
        <v>0.0</v>
      </c>
    </row>
    <row r="71" ht="18.0" customHeight="1">
      <c r="A71" s="14" t="s">
        <v>71</v>
      </c>
      <c r="B71" s="15">
        <f>SUM(B72:B74)</f>
        <v>30</v>
      </c>
      <c r="C71" s="14"/>
      <c r="D71" s="16" t="str">
        <f>IF(SUM(D72:D74)=0,"",SUM(D72:D74))</f>
        <v/>
      </c>
    </row>
    <row r="72" ht="15.0" customHeight="1">
      <c r="A72" s="17" t="s">
        <v>72</v>
      </c>
      <c r="B72" s="18">
        <v>8.0</v>
      </c>
      <c r="C72" s="17"/>
      <c r="D72" s="19">
        <v>0.0</v>
      </c>
    </row>
    <row r="73" ht="15.0" customHeight="1">
      <c r="A73" s="17" t="s">
        <v>73</v>
      </c>
      <c r="B73" s="18">
        <v>14.0</v>
      </c>
      <c r="C73" s="17"/>
      <c r="D73" s="19">
        <v>0.0</v>
      </c>
    </row>
    <row r="74" ht="15.0" customHeight="1">
      <c r="A74" s="17" t="s">
        <v>74</v>
      </c>
      <c r="B74" s="18">
        <v>8.0</v>
      </c>
      <c r="C74" s="17"/>
      <c r="D74" s="19">
        <v>0.0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53.5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53.5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2.02400155E8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 t="str">
        <f>IF(N(D65)+N(D71)=0,"",N(D65)+N(D71))</f>
        <v/>
      </c>
    </row>
    <row r="65" ht="18.0" customHeight="1">
      <c r="A65" s="14" t="s">
        <v>65</v>
      </c>
      <c r="B65" s="15">
        <f>SUM(B66:B70)</f>
        <v>20</v>
      </c>
      <c r="C65" s="14"/>
      <c r="D65" s="16" t="str">
        <f>IF(SUM(D66:D70)=0,"",SUM(D66:D70))</f>
        <v/>
      </c>
    </row>
    <row r="66" ht="15.0" customHeight="1">
      <c r="A66" s="17" t="s">
        <v>66</v>
      </c>
      <c r="B66" s="18">
        <v>4.0</v>
      </c>
      <c r="C66" s="17"/>
      <c r="D66" s="19">
        <v>0.0</v>
      </c>
    </row>
    <row r="67" ht="15.0" customHeight="1">
      <c r="A67" s="17" t="s">
        <v>67</v>
      </c>
      <c r="B67" s="18">
        <v>4.0</v>
      </c>
      <c r="C67" s="17"/>
      <c r="D67" s="19">
        <v>0.0</v>
      </c>
    </row>
    <row r="68" ht="15.0" customHeight="1">
      <c r="A68" s="17" t="s">
        <v>68</v>
      </c>
      <c r="B68" s="18">
        <v>4.0</v>
      </c>
      <c r="C68" s="17"/>
      <c r="D68" s="19">
        <v>0.0</v>
      </c>
    </row>
    <row r="69" ht="15.0" customHeight="1">
      <c r="A69" s="17" t="s">
        <v>69</v>
      </c>
      <c r="B69" s="18">
        <v>4.0</v>
      </c>
      <c r="C69" s="17"/>
      <c r="D69" s="19">
        <v>0.0</v>
      </c>
    </row>
    <row r="70" ht="15.0" customHeight="1">
      <c r="A70" s="17" t="s">
        <v>70</v>
      </c>
      <c r="B70" s="18">
        <v>4.0</v>
      </c>
      <c r="C70" s="17"/>
      <c r="D70" s="19">
        <v>0.0</v>
      </c>
    </row>
    <row r="71" ht="18.0" customHeight="1">
      <c r="A71" s="14" t="s">
        <v>71</v>
      </c>
      <c r="B71" s="15">
        <f>SUM(B72:B74)</f>
        <v>30</v>
      </c>
      <c r="C71" s="14"/>
      <c r="D71" s="16" t="str">
        <f>IF(SUM(D72:D74)=0,"",SUM(D72:D74))</f>
        <v/>
      </c>
    </row>
    <row r="72" ht="15.0" customHeight="1">
      <c r="A72" s="17" t="s">
        <v>72</v>
      </c>
      <c r="B72" s="18">
        <v>8.0</v>
      </c>
      <c r="C72" s="17"/>
      <c r="D72" s="19">
        <v>0.0</v>
      </c>
    </row>
    <row r="73" ht="15.0" customHeight="1">
      <c r="A73" s="17" t="s">
        <v>73</v>
      </c>
      <c r="B73" s="18">
        <v>14.0</v>
      </c>
      <c r="C73" s="17"/>
      <c r="D73" s="19">
        <v>0.0</v>
      </c>
    </row>
    <row r="74" ht="15.0" customHeight="1">
      <c r="A74" s="17" t="s">
        <v>74</v>
      </c>
      <c r="B74" s="18">
        <v>8.0</v>
      </c>
      <c r="C74" s="17"/>
      <c r="D74" s="19">
        <v>0.0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50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50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2.02405048E8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15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7</v>
      </c>
    </row>
    <row r="66" ht="15.0" customHeight="1">
      <c r="A66" s="17" t="s">
        <v>66</v>
      </c>
      <c r="B66" s="18">
        <v>4.0</v>
      </c>
      <c r="C66" s="17"/>
      <c r="D66" s="19">
        <v>1.0</v>
      </c>
    </row>
    <row r="67" ht="15.0" customHeight="1">
      <c r="A67" s="17" t="s">
        <v>67</v>
      </c>
      <c r="B67" s="18">
        <v>4.0</v>
      </c>
      <c r="C67" s="17"/>
      <c r="D67" s="19">
        <v>0.0</v>
      </c>
    </row>
    <row r="68" ht="15.0" customHeight="1">
      <c r="A68" s="17" t="s">
        <v>68</v>
      </c>
      <c r="B68" s="18">
        <v>4.0</v>
      </c>
      <c r="C68" s="17"/>
      <c r="D68" s="19">
        <v>2.0</v>
      </c>
    </row>
    <row r="69" ht="15.0" customHeight="1">
      <c r="A69" s="17" t="s">
        <v>69</v>
      </c>
      <c r="B69" s="18">
        <v>4.0</v>
      </c>
      <c r="C69" s="17"/>
      <c r="D69" s="19">
        <v>3.0</v>
      </c>
    </row>
    <row r="70" ht="15.0" customHeight="1">
      <c r="A70" s="17" t="s">
        <v>70</v>
      </c>
      <c r="B70" s="18">
        <v>4.0</v>
      </c>
      <c r="C70" s="17"/>
      <c r="D70" s="19">
        <v>1.0</v>
      </c>
    </row>
    <row r="71" ht="18.0" customHeight="1">
      <c r="A71" s="14" t="s">
        <v>71</v>
      </c>
      <c r="B71" s="15">
        <f>SUM(B72:B74)</f>
        <v>30</v>
      </c>
      <c r="C71" s="14"/>
      <c r="D71" s="16">
        <f>IF(SUM(D72:D74)=0,"",SUM(D72:D74))</f>
        <v>8</v>
      </c>
    </row>
    <row r="72" ht="15.0" customHeight="1">
      <c r="A72" s="17" t="s">
        <v>72</v>
      </c>
      <c r="B72" s="18">
        <v>8.0</v>
      </c>
      <c r="C72" s="17"/>
      <c r="D72" s="19">
        <v>0.0</v>
      </c>
    </row>
    <row r="73" ht="15.0" customHeight="1">
      <c r="A73" s="17" t="s">
        <v>73</v>
      </c>
      <c r="B73" s="18">
        <v>14.0</v>
      </c>
      <c r="C73" s="17"/>
      <c r="D73" s="19">
        <v>0.0</v>
      </c>
    </row>
    <row r="74" ht="15.0" customHeight="1">
      <c r="A74" s="17" t="s">
        <v>74</v>
      </c>
      <c r="B74" s="18">
        <v>8.0</v>
      </c>
      <c r="C74" s="17"/>
      <c r="D74" s="19">
        <v>8.0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65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65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2.02403338E8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7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7</v>
      </c>
    </row>
    <row r="66" ht="15.0" customHeight="1">
      <c r="A66" s="17" t="s">
        <v>66</v>
      </c>
      <c r="B66" s="18">
        <v>4.0</v>
      </c>
      <c r="C66" s="17"/>
      <c r="D66" s="19">
        <v>0.0</v>
      </c>
    </row>
    <row r="67" ht="15.0" customHeight="1">
      <c r="A67" s="17" t="s">
        <v>67</v>
      </c>
      <c r="B67" s="18">
        <v>4.0</v>
      </c>
      <c r="C67" s="17"/>
      <c r="D67" s="19">
        <v>3.0</v>
      </c>
    </row>
    <row r="68" ht="15.0" customHeight="1">
      <c r="A68" s="17" t="s">
        <v>68</v>
      </c>
      <c r="B68" s="18">
        <v>4.0</v>
      </c>
      <c r="C68" s="17"/>
      <c r="D68" s="19">
        <v>2.0</v>
      </c>
    </row>
    <row r="69" ht="15.0" customHeight="1">
      <c r="A69" s="17" t="s">
        <v>69</v>
      </c>
      <c r="B69" s="18">
        <v>4.0</v>
      </c>
      <c r="C69" s="17"/>
      <c r="D69" s="19">
        <v>0.0</v>
      </c>
    </row>
    <row r="70" ht="15.0" customHeight="1">
      <c r="A70" s="17" t="s">
        <v>70</v>
      </c>
      <c r="B70" s="18">
        <v>4.0</v>
      </c>
      <c r="C70" s="17"/>
      <c r="D70" s="19">
        <v>2.0</v>
      </c>
    </row>
    <row r="71" ht="18.0" customHeight="1">
      <c r="A71" s="14" t="s">
        <v>71</v>
      </c>
      <c r="B71" s="15">
        <f>SUM(B72:B74)</f>
        <v>30</v>
      </c>
      <c r="C71" s="14"/>
      <c r="D71" s="16" t="str">
        <f>IF(SUM(D72:D74)=0,"",SUM(D72:D74))</f>
        <v/>
      </c>
    </row>
    <row r="72" ht="15.0" customHeight="1">
      <c r="A72" s="17" t="s">
        <v>72</v>
      </c>
      <c r="B72" s="18">
        <v>8.0</v>
      </c>
      <c r="C72" s="17"/>
      <c r="D72" s="19">
        <v>0.0</v>
      </c>
    </row>
    <row r="73" ht="15.0" customHeight="1">
      <c r="A73" s="17" t="s">
        <v>73</v>
      </c>
      <c r="B73" s="18">
        <v>14.0</v>
      </c>
      <c r="C73" s="17"/>
      <c r="D73" s="19">
        <v>0.0</v>
      </c>
    </row>
    <row r="74" ht="15.0" customHeight="1">
      <c r="A74" s="17" t="s">
        <v>74</v>
      </c>
      <c r="B74" s="18">
        <v>8.0</v>
      </c>
      <c r="C74" s="17"/>
      <c r="D74" s="19">
        <v>0.0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57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57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2.02507586E8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33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4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1.0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6</v>
      </c>
    </row>
    <row r="38" ht="15.0" customHeight="1">
      <c r="A38" s="17" t="s">
        <v>38</v>
      </c>
      <c r="B38" s="18">
        <v>2.0</v>
      </c>
      <c r="C38" s="17"/>
      <c r="D38" s="19">
        <v>1.0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26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14</v>
      </c>
    </row>
    <row r="66" ht="15.0" customHeight="1">
      <c r="A66" s="17" t="s">
        <v>66</v>
      </c>
      <c r="B66" s="18">
        <v>4.0</v>
      </c>
      <c r="C66" s="17"/>
      <c r="D66" s="19">
        <v>4.0</v>
      </c>
    </row>
    <row r="67" ht="15.0" customHeight="1">
      <c r="A67" s="17" t="s">
        <v>67</v>
      </c>
      <c r="B67" s="18">
        <v>4.0</v>
      </c>
      <c r="C67" s="17"/>
      <c r="D67" s="19">
        <v>4.0</v>
      </c>
    </row>
    <row r="68" ht="15.0" customHeight="1">
      <c r="A68" s="17" t="s">
        <v>68</v>
      </c>
      <c r="B68" s="18">
        <v>4.0</v>
      </c>
      <c r="C68" s="17"/>
      <c r="D68" s="19">
        <v>2.0</v>
      </c>
    </row>
    <row r="69" ht="15.0" customHeight="1">
      <c r="A69" s="17" t="s">
        <v>69</v>
      </c>
      <c r="B69" s="18">
        <v>4.0</v>
      </c>
      <c r="C69" s="17"/>
      <c r="D69" s="19">
        <v>4.0</v>
      </c>
    </row>
    <row r="70" ht="15.0" customHeight="1">
      <c r="A70" s="17" t="s">
        <v>70</v>
      </c>
      <c r="B70" s="18">
        <v>4.0</v>
      </c>
      <c r="C70" s="17"/>
      <c r="D70" s="19">
        <v>0.0</v>
      </c>
    </row>
    <row r="71" ht="18.0" customHeight="1">
      <c r="A71" s="14" t="s">
        <v>71</v>
      </c>
      <c r="B71" s="15">
        <f>SUM(B72:B74)</f>
        <v>30</v>
      </c>
      <c r="C71" s="14"/>
      <c r="D71" s="16">
        <f>IF(SUM(D72:D74)=0,"",SUM(D72:D74))</f>
        <v>12</v>
      </c>
    </row>
    <row r="72" ht="15.0" customHeight="1">
      <c r="A72" s="17" t="s">
        <v>72</v>
      </c>
      <c r="B72" s="18">
        <v>8.0</v>
      </c>
      <c r="C72" s="17"/>
      <c r="D72" s="19">
        <v>4.0</v>
      </c>
    </row>
    <row r="73" ht="15.0" customHeight="1">
      <c r="A73" s="17" t="s">
        <v>73</v>
      </c>
      <c r="B73" s="18">
        <v>14.0</v>
      </c>
      <c r="C73" s="17"/>
      <c r="D73" s="19">
        <v>5.0</v>
      </c>
    </row>
    <row r="74" ht="15.0" customHeight="1">
      <c r="A74" s="17" t="s">
        <v>74</v>
      </c>
      <c r="B74" s="18">
        <v>8.0</v>
      </c>
      <c r="C74" s="17"/>
      <c r="D74" s="19">
        <v>3.0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74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74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2.02501625E8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36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18</v>
      </c>
    </row>
    <row r="66" ht="15.0" customHeight="1">
      <c r="A66" s="17" t="s">
        <v>66</v>
      </c>
      <c r="B66" s="18">
        <v>4.0</v>
      </c>
      <c r="C66" s="17"/>
      <c r="D66" s="19">
        <v>4.0</v>
      </c>
    </row>
    <row r="67" ht="15.0" customHeight="1">
      <c r="A67" s="17" t="s">
        <v>67</v>
      </c>
      <c r="B67" s="18">
        <v>4.0</v>
      </c>
      <c r="C67" s="17"/>
      <c r="D67" s="19">
        <v>4.0</v>
      </c>
    </row>
    <row r="68" ht="15.0" customHeight="1">
      <c r="A68" s="17" t="s">
        <v>68</v>
      </c>
      <c r="B68" s="18">
        <v>4.0</v>
      </c>
      <c r="C68" s="17"/>
      <c r="D68" s="19">
        <v>4.0</v>
      </c>
    </row>
    <row r="69" ht="15.0" customHeight="1">
      <c r="A69" s="17" t="s">
        <v>69</v>
      </c>
      <c r="B69" s="18">
        <v>4.0</v>
      </c>
      <c r="C69" s="17"/>
      <c r="D69" s="19">
        <v>4.0</v>
      </c>
    </row>
    <row r="70" ht="15.0" customHeight="1">
      <c r="A70" s="17" t="s">
        <v>70</v>
      </c>
      <c r="B70" s="18">
        <v>4.0</v>
      </c>
      <c r="C70" s="17"/>
      <c r="D70" s="19">
        <v>2.0</v>
      </c>
    </row>
    <row r="71" ht="18.0" customHeight="1">
      <c r="A71" s="14" t="s">
        <v>71</v>
      </c>
      <c r="B71" s="15">
        <f>SUM(B72:B74)</f>
        <v>30</v>
      </c>
      <c r="C71" s="14"/>
      <c r="D71" s="16">
        <f>IF(SUM(D72:D74)=0,"",SUM(D72:D74))</f>
        <v>18</v>
      </c>
    </row>
    <row r="72" ht="15.0" customHeight="1">
      <c r="A72" s="17" t="s">
        <v>72</v>
      </c>
      <c r="B72" s="18">
        <v>8.0</v>
      </c>
      <c r="C72" s="17"/>
      <c r="D72" s="19">
        <v>0.0</v>
      </c>
    </row>
    <row r="73" ht="15.0" customHeight="1">
      <c r="A73" s="17" t="s">
        <v>73</v>
      </c>
      <c r="B73" s="18">
        <v>14.0</v>
      </c>
      <c r="C73" s="17"/>
      <c r="D73" s="19">
        <v>12.0</v>
      </c>
    </row>
    <row r="74" ht="15.0" customHeight="1">
      <c r="A74" s="17" t="s">
        <v>74</v>
      </c>
      <c r="B74" s="18">
        <v>8.0</v>
      </c>
      <c r="C74" s="17"/>
      <c r="D74" s="19">
        <v>6.0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86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86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2.0250583E8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14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9</v>
      </c>
    </row>
    <row r="66" ht="15.0" customHeight="1">
      <c r="A66" s="17" t="s">
        <v>66</v>
      </c>
      <c r="B66" s="18">
        <v>4.0</v>
      </c>
      <c r="C66" s="17"/>
      <c r="D66" s="19">
        <v>4.0</v>
      </c>
    </row>
    <row r="67" ht="15.0" customHeight="1">
      <c r="A67" s="17" t="s">
        <v>67</v>
      </c>
      <c r="B67" s="18">
        <v>4.0</v>
      </c>
      <c r="C67" s="17"/>
      <c r="D67" s="19">
        <v>1.0</v>
      </c>
    </row>
    <row r="68" ht="15.0" customHeight="1">
      <c r="A68" s="17" t="s">
        <v>68</v>
      </c>
      <c r="B68" s="18">
        <v>4.0</v>
      </c>
      <c r="C68" s="17"/>
      <c r="D68" s="19">
        <v>2.0</v>
      </c>
    </row>
    <row r="69" ht="15.0" customHeight="1">
      <c r="A69" s="17" t="s">
        <v>69</v>
      </c>
      <c r="B69" s="18">
        <v>4.0</v>
      </c>
      <c r="C69" s="17"/>
      <c r="D69" s="19">
        <v>1.0</v>
      </c>
    </row>
    <row r="70" ht="15.0" customHeight="1">
      <c r="A70" s="17" t="s">
        <v>70</v>
      </c>
      <c r="B70" s="18">
        <v>4.0</v>
      </c>
      <c r="C70" s="17"/>
      <c r="D70" s="19">
        <v>1.0</v>
      </c>
    </row>
    <row r="71" ht="18.0" customHeight="1">
      <c r="A71" s="14" t="s">
        <v>71</v>
      </c>
      <c r="B71" s="15">
        <f>SUM(B72:B74)</f>
        <v>30</v>
      </c>
      <c r="C71" s="14"/>
      <c r="D71" s="16">
        <f>IF(SUM(D72:D74)=0,"",SUM(D72:D74))</f>
        <v>5</v>
      </c>
    </row>
    <row r="72" ht="15.0" customHeight="1">
      <c r="A72" s="17" t="s">
        <v>72</v>
      </c>
      <c r="B72" s="18">
        <v>8.0</v>
      </c>
      <c r="C72" s="17"/>
      <c r="D72" s="19">
        <v>0.0</v>
      </c>
    </row>
    <row r="73" ht="15.0" customHeight="1">
      <c r="A73" s="17" t="s">
        <v>73</v>
      </c>
      <c r="B73" s="18">
        <v>14.0</v>
      </c>
      <c r="C73" s="17"/>
      <c r="D73" s="19">
        <v>3.0</v>
      </c>
    </row>
    <row r="74" ht="15.0" customHeight="1">
      <c r="A74" s="17" t="s">
        <v>74</v>
      </c>
      <c r="B74" s="18">
        <v>8.0</v>
      </c>
      <c r="C74" s="17"/>
      <c r="D74" s="19">
        <v>2.0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64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64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2.02406816E8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19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10</v>
      </c>
    </row>
    <row r="66" ht="15.0" customHeight="1">
      <c r="A66" s="17" t="s">
        <v>66</v>
      </c>
      <c r="B66" s="18">
        <v>4.0</v>
      </c>
      <c r="C66" s="17"/>
      <c r="D66" s="19">
        <v>3.0</v>
      </c>
    </row>
    <row r="67" ht="15.0" customHeight="1">
      <c r="A67" s="17" t="s">
        <v>67</v>
      </c>
      <c r="B67" s="18">
        <v>4.0</v>
      </c>
      <c r="C67" s="17"/>
      <c r="D67" s="19">
        <v>2.0</v>
      </c>
    </row>
    <row r="68" ht="15.0" customHeight="1">
      <c r="A68" s="17" t="s">
        <v>68</v>
      </c>
      <c r="B68" s="18">
        <v>4.0</v>
      </c>
      <c r="C68" s="17"/>
      <c r="D68" s="19">
        <v>4.0</v>
      </c>
    </row>
    <row r="69" ht="15.0" customHeight="1">
      <c r="A69" s="17" t="s">
        <v>69</v>
      </c>
      <c r="B69" s="18">
        <v>4.0</v>
      </c>
      <c r="C69" s="17"/>
      <c r="D69" s="19">
        <v>0.0</v>
      </c>
    </row>
    <row r="70" ht="15.0" customHeight="1">
      <c r="A70" s="17" t="s">
        <v>70</v>
      </c>
      <c r="B70" s="18">
        <v>4.0</v>
      </c>
      <c r="C70" s="17"/>
      <c r="D70" s="19">
        <v>1.0</v>
      </c>
    </row>
    <row r="71" ht="18.0" customHeight="1">
      <c r="A71" s="14" t="s">
        <v>71</v>
      </c>
      <c r="B71" s="15">
        <f>SUM(B72:B74)</f>
        <v>30</v>
      </c>
      <c r="C71" s="14"/>
      <c r="D71" s="16">
        <f>IF(SUM(D72:D74)=0,"",SUM(D72:D74))</f>
        <v>9</v>
      </c>
    </row>
    <row r="72" ht="15.0" customHeight="1">
      <c r="A72" s="17" t="s">
        <v>72</v>
      </c>
      <c r="B72" s="18">
        <v>8.0</v>
      </c>
      <c r="C72" s="17"/>
      <c r="D72" s="19">
        <v>3.0</v>
      </c>
    </row>
    <row r="73" ht="15.0" customHeight="1">
      <c r="A73" s="17" t="s">
        <v>73</v>
      </c>
      <c r="B73" s="18">
        <v>14.0</v>
      </c>
      <c r="C73" s="17"/>
      <c r="D73" s="19">
        <v>2.0</v>
      </c>
    </row>
    <row r="74" ht="15.0" customHeight="1">
      <c r="A74" s="17" t="s">
        <v>74</v>
      </c>
      <c r="B74" s="18">
        <v>8.0</v>
      </c>
      <c r="C74" s="17"/>
      <c r="D74" s="19">
        <v>4.0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69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69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87.57"/>
    <col customWidth="1" min="2" max="2" width="11.0"/>
    <col customWidth="1" min="3" max="3" width="34.0"/>
    <col customWidth="1" min="4" max="4" width="11.0"/>
    <col customWidth="1" min="5" max="6" width="8.71"/>
    <col customWidth="1" min="7" max="26" width="14.57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6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1"/>
      <c r="B7" s="2"/>
      <c r="C7" s="2"/>
      <c r="D7" s="2"/>
    </row>
    <row r="8">
      <c r="A8" s="4" t="s">
        <v>7</v>
      </c>
    </row>
    <row r="9">
      <c r="A9" s="4"/>
      <c r="B9" s="4"/>
      <c r="C9" s="4"/>
      <c r="D9" s="4"/>
    </row>
    <row r="10">
      <c r="A10" s="5" t="s">
        <v>8</v>
      </c>
      <c r="C10" s="6"/>
      <c r="D10" s="7"/>
    </row>
    <row r="11">
      <c r="A11" s="5" t="s">
        <v>9</v>
      </c>
      <c r="C11" s="8" t="str">
        <f>VLOOKUP(C12, Consolidado!$B$3:$C$26, 2, 0)</f>
        <v>#N/A</v>
      </c>
      <c r="D11" s="7"/>
    </row>
    <row r="12">
      <c r="A12" s="5" t="s">
        <v>10</v>
      </c>
      <c r="C12" s="9">
        <v>2.02501349E8</v>
      </c>
      <c r="D12" s="7"/>
    </row>
    <row r="13">
      <c r="A13" s="2"/>
      <c r="B13" s="2"/>
      <c r="C13" s="2"/>
      <c r="D13" s="2"/>
    </row>
    <row r="14" ht="19.5" customHeight="1">
      <c r="A14" s="10" t="s">
        <v>11</v>
      </c>
      <c r="B14" s="10" t="s">
        <v>12</v>
      </c>
      <c r="C14" s="10" t="s">
        <v>13</v>
      </c>
      <c r="D14" s="10" t="s">
        <v>14</v>
      </c>
    </row>
    <row r="15" ht="19.5" customHeight="1">
      <c r="A15" s="11" t="s">
        <v>15</v>
      </c>
      <c r="B15" s="12">
        <f>B16+B21+B25</f>
        <v>15</v>
      </c>
      <c r="C15" s="11"/>
      <c r="D15" s="13">
        <f>IF(N(D16)+N(D21)+N(D25)=0,"",N(D16)+N(D21)+N(D25))</f>
        <v>15</v>
      </c>
    </row>
    <row r="16" ht="18.0" customHeight="1">
      <c r="A16" s="14" t="s">
        <v>16</v>
      </c>
      <c r="B16" s="15">
        <f>SUM(B17:B20)</f>
        <v>6</v>
      </c>
      <c r="C16" s="14"/>
      <c r="D16" s="16">
        <f>IF(SUM(D17:D20)=0,"",SUM(D17:D20))</f>
        <v>6</v>
      </c>
    </row>
    <row r="17" ht="15.0" customHeight="1">
      <c r="A17" s="17" t="s">
        <v>17</v>
      </c>
      <c r="B17" s="18">
        <v>2.0</v>
      </c>
      <c r="C17" s="17"/>
      <c r="D17" s="19">
        <v>2.0</v>
      </c>
    </row>
    <row r="18" ht="15.0" customHeight="1">
      <c r="A18" s="17" t="s">
        <v>18</v>
      </c>
      <c r="B18" s="18">
        <v>1.5</v>
      </c>
      <c r="C18" s="17"/>
      <c r="D18" s="19">
        <v>1.5</v>
      </c>
    </row>
    <row r="19" ht="15.0" customHeight="1">
      <c r="A19" s="17" t="s">
        <v>19</v>
      </c>
      <c r="B19" s="18">
        <v>1.5</v>
      </c>
      <c r="C19" s="17"/>
      <c r="D19" s="19">
        <v>1.5</v>
      </c>
    </row>
    <row r="20" ht="15.0" customHeight="1">
      <c r="A20" s="17" t="s">
        <v>20</v>
      </c>
      <c r="B20" s="18">
        <v>1.0</v>
      </c>
      <c r="C20" s="17"/>
      <c r="D20" s="19">
        <v>1.0</v>
      </c>
    </row>
    <row r="21" ht="18.0" customHeight="1">
      <c r="A21" s="14" t="s">
        <v>21</v>
      </c>
      <c r="B21" s="15">
        <f>SUM(B22:B24)</f>
        <v>4</v>
      </c>
      <c r="C21" s="14"/>
      <c r="D21" s="16">
        <f>IF(SUM(D22:D24)=0,"",SUM(D22:D24))</f>
        <v>4</v>
      </c>
    </row>
    <row r="22" ht="15.0" customHeight="1">
      <c r="A22" s="17" t="s">
        <v>22</v>
      </c>
      <c r="B22" s="18">
        <v>1.0</v>
      </c>
      <c r="C22" s="17"/>
      <c r="D22" s="19">
        <v>1.0</v>
      </c>
    </row>
    <row r="23" ht="15.0" customHeight="1">
      <c r="A23" s="17" t="s">
        <v>23</v>
      </c>
      <c r="B23" s="18">
        <v>2.0</v>
      </c>
      <c r="C23" s="17"/>
      <c r="D23" s="19">
        <v>2.0</v>
      </c>
    </row>
    <row r="24" ht="15.0" customHeight="1">
      <c r="A24" s="17" t="s">
        <v>24</v>
      </c>
      <c r="B24" s="18">
        <v>1.0</v>
      </c>
      <c r="C24" s="17"/>
      <c r="D24" s="19">
        <v>1.0</v>
      </c>
    </row>
    <row r="25" ht="18.0" customHeight="1">
      <c r="A25" s="14" t="s">
        <v>25</v>
      </c>
      <c r="B25" s="15">
        <f>SUM(B26:B28)</f>
        <v>5</v>
      </c>
      <c r="C25" s="14"/>
      <c r="D25" s="16">
        <f>IF(SUM(D26:D28)=0,"",SUM(D26:D28))</f>
        <v>5</v>
      </c>
    </row>
    <row r="26" ht="15.0" customHeight="1">
      <c r="A26" s="17" t="s">
        <v>26</v>
      </c>
      <c r="B26" s="18">
        <v>2.0</v>
      </c>
      <c r="C26" s="17"/>
      <c r="D26" s="19">
        <v>2.0</v>
      </c>
    </row>
    <row r="27" ht="15.0" customHeight="1">
      <c r="A27" s="17" t="s">
        <v>27</v>
      </c>
      <c r="B27" s="18">
        <v>1.0</v>
      </c>
      <c r="C27" s="17"/>
      <c r="D27" s="19">
        <v>1.0</v>
      </c>
    </row>
    <row r="28" ht="15.0" customHeight="1">
      <c r="A28" s="17" t="s">
        <v>28</v>
      </c>
      <c r="B28" s="18">
        <v>2.0</v>
      </c>
      <c r="C28" s="17"/>
      <c r="D28" s="19">
        <v>2.0</v>
      </c>
    </row>
    <row r="29" ht="19.5" customHeight="1">
      <c r="A29" s="11" t="s">
        <v>29</v>
      </c>
      <c r="B29" s="12">
        <f>B30+B34+B37+B42+B45+B48+B53+B56+B59</f>
        <v>35</v>
      </c>
      <c r="C29" s="11"/>
      <c r="D29" s="13">
        <f>IF(N(D30)+N(D34)+N(D37)+N(D42)+N(D45)+N(D48)+N(D53)+N(D56)+N(D59)=0,"",N(D30)+N(D34)+N(D37)+N(D42)+N(D45)+N(D48)+N(D53)+N(D56)+N(D59))</f>
        <v>35</v>
      </c>
    </row>
    <row r="30" ht="18.0" customHeight="1">
      <c r="A30" s="14" t="s">
        <v>30</v>
      </c>
      <c r="B30" s="15">
        <f>SUM(B31:B33)</f>
        <v>5</v>
      </c>
      <c r="C30" s="14"/>
      <c r="D30" s="16">
        <f>IF(SUM(D31:D33)=0,"",SUM(D31:D33))</f>
        <v>5</v>
      </c>
    </row>
    <row r="31" ht="15.0" customHeight="1">
      <c r="A31" s="17" t="s">
        <v>31</v>
      </c>
      <c r="B31" s="18">
        <v>2.0</v>
      </c>
      <c r="C31" s="17"/>
      <c r="D31" s="19">
        <v>2.0</v>
      </c>
    </row>
    <row r="32" ht="15.0" customHeight="1">
      <c r="A32" s="17" t="s">
        <v>32</v>
      </c>
      <c r="B32" s="18">
        <v>2.0</v>
      </c>
      <c r="C32" s="17"/>
      <c r="D32" s="19">
        <v>2.0</v>
      </c>
    </row>
    <row r="33" ht="15.0" customHeight="1">
      <c r="A33" s="17" t="s">
        <v>33</v>
      </c>
      <c r="B33" s="18">
        <v>1.0</v>
      </c>
      <c r="C33" s="17"/>
      <c r="D33" s="19">
        <v>1.0</v>
      </c>
    </row>
    <row r="34" ht="18.0" customHeight="1">
      <c r="A34" s="14" t="s">
        <v>34</v>
      </c>
      <c r="B34" s="15">
        <f>SUM(B35:B36)</f>
        <v>3</v>
      </c>
      <c r="C34" s="14"/>
      <c r="D34" s="16">
        <f>IF(SUM(D35:D36)=0,"",SUM(D35:D36))</f>
        <v>3</v>
      </c>
    </row>
    <row r="35" ht="15.0" customHeight="1">
      <c r="A35" s="17" t="s">
        <v>35</v>
      </c>
      <c r="B35" s="18">
        <v>2.0</v>
      </c>
      <c r="C35" s="17"/>
      <c r="D35" s="19">
        <v>2.0</v>
      </c>
    </row>
    <row r="36" ht="15.0" customHeight="1">
      <c r="A36" s="17" t="s">
        <v>36</v>
      </c>
      <c r="B36" s="18">
        <v>1.0</v>
      </c>
      <c r="C36" s="17"/>
      <c r="D36" s="19">
        <v>1.0</v>
      </c>
    </row>
    <row r="37" ht="18.0" customHeight="1">
      <c r="A37" s="14" t="s">
        <v>37</v>
      </c>
      <c r="B37" s="15">
        <f>SUM(B38:B41)</f>
        <v>7</v>
      </c>
      <c r="C37" s="14"/>
      <c r="D37" s="16">
        <f>IF(SUM(D38:D41)=0,"",SUM(D38:D41))</f>
        <v>7</v>
      </c>
    </row>
    <row r="38" ht="15.0" customHeight="1">
      <c r="A38" s="17" t="s">
        <v>38</v>
      </c>
      <c r="B38" s="18">
        <v>2.0</v>
      </c>
      <c r="C38" s="17"/>
      <c r="D38" s="19">
        <v>2.0</v>
      </c>
    </row>
    <row r="39" ht="15.0" customHeight="1">
      <c r="A39" s="17" t="s">
        <v>39</v>
      </c>
      <c r="B39" s="18">
        <v>2.0</v>
      </c>
      <c r="C39" s="17"/>
      <c r="D39" s="19">
        <v>2.0</v>
      </c>
    </row>
    <row r="40" ht="15.0" customHeight="1">
      <c r="A40" s="17" t="s">
        <v>40</v>
      </c>
      <c r="B40" s="18">
        <v>2.0</v>
      </c>
      <c r="C40" s="17"/>
      <c r="D40" s="19">
        <v>2.0</v>
      </c>
    </row>
    <row r="41" ht="15.0" customHeight="1">
      <c r="A41" s="17" t="s">
        <v>41</v>
      </c>
      <c r="B41" s="18">
        <v>1.0</v>
      </c>
      <c r="C41" s="17"/>
      <c r="D41" s="19">
        <v>1.0</v>
      </c>
    </row>
    <row r="42" ht="18.0" customHeight="1">
      <c r="A42" s="14" t="s">
        <v>42</v>
      </c>
      <c r="B42" s="15">
        <f>SUM(B43:B44)</f>
        <v>3</v>
      </c>
      <c r="C42" s="14"/>
      <c r="D42" s="16">
        <f>IF(SUM(D43:D44)=0,"",SUM(D43:D44))</f>
        <v>3</v>
      </c>
    </row>
    <row r="43" ht="15.0" customHeight="1">
      <c r="A43" s="17" t="s">
        <v>43</v>
      </c>
      <c r="B43" s="18">
        <v>1.5</v>
      </c>
      <c r="C43" s="17"/>
      <c r="D43" s="19">
        <v>1.5</v>
      </c>
    </row>
    <row r="44" ht="15.0" customHeight="1">
      <c r="A44" s="17" t="s">
        <v>44</v>
      </c>
      <c r="B44" s="18">
        <v>1.5</v>
      </c>
      <c r="C44" s="17"/>
      <c r="D44" s="19">
        <v>1.5</v>
      </c>
    </row>
    <row r="45" ht="18.0" customHeight="1">
      <c r="A45" s="14" t="s">
        <v>45</v>
      </c>
      <c r="B45" s="15">
        <f>SUM(B46:B47)</f>
        <v>2</v>
      </c>
      <c r="C45" s="14"/>
      <c r="D45" s="16">
        <f>IF(SUM(D46:D47)=0,"",SUM(D46:D47))</f>
        <v>2</v>
      </c>
    </row>
    <row r="46" ht="15.0" customHeight="1">
      <c r="A46" s="17" t="s">
        <v>46</v>
      </c>
      <c r="B46" s="18">
        <v>1.0</v>
      </c>
      <c r="C46" s="17"/>
      <c r="D46" s="19">
        <v>1.0</v>
      </c>
    </row>
    <row r="47" ht="15.0" customHeight="1">
      <c r="A47" s="17" t="s">
        <v>47</v>
      </c>
      <c r="B47" s="18">
        <v>1.0</v>
      </c>
      <c r="C47" s="17"/>
      <c r="D47" s="19">
        <v>1.0</v>
      </c>
    </row>
    <row r="48" ht="18.0" customHeight="1">
      <c r="A48" s="14" t="s">
        <v>48</v>
      </c>
      <c r="B48" s="15">
        <f>SUM(B49:B52)</f>
        <v>6</v>
      </c>
      <c r="C48" s="14"/>
      <c r="D48" s="16">
        <f>IF(SUM(D49:D52)=0,"",SUM(D49:D52))</f>
        <v>6</v>
      </c>
    </row>
    <row r="49" ht="15.0" customHeight="1">
      <c r="A49" s="17" t="s">
        <v>49</v>
      </c>
      <c r="B49" s="18">
        <v>2.0</v>
      </c>
      <c r="C49" s="17"/>
      <c r="D49" s="19">
        <v>2.0</v>
      </c>
    </row>
    <row r="50" ht="15.0" customHeight="1">
      <c r="A50" s="17" t="s">
        <v>50</v>
      </c>
      <c r="B50" s="18">
        <v>1.5</v>
      </c>
      <c r="C50" s="17"/>
      <c r="D50" s="19">
        <v>1.5</v>
      </c>
    </row>
    <row r="51" ht="15.0" customHeight="1">
      <c r="A51" s="17" t="s">
        <v>51</v>
      </c>
      <c r="B51" s="18">
        <v>1.5</v>
      </c>
      <c r="C51" s="17"/>
      <c r="D51" s="19">
        <v>1.5</v>
      </c>
    </row>
    <row r="52" ht="15.0" customHeight="1">
      <c r="A52" s="17" t="s">
        <v>52</v>
      </c>
      <c r="B52" s="18">
        <v>1.0</v>
      </c>
      <c r="C52" s="17"/>
      <c r="D52" s="19">
        <v>1.0</v>
      </c>
    </row>
    <row r="53" ht="18.0" customHeight="1">
      <c r="A53" s="14" t="s">
        <v>53</v>
      </c>
      <c r="B53" s="15">
        <f>SUM(B54:B55)</f>
        <v>2</v>
      </c>
      <c r="C53" s="14"/>
      <c r="D53" s="16">
        <f>IF(SUM(D54:D55)=0,"",SUM(D54:D55))</f>
        <v>2</v>
      </c>
    </row>
    <row r="54" ht="15.0" customHeight="1">
      <c r="A54" s="17" t="s">
        <v>54</v>
      </c>
      <c r="B54" s="18">
        <v>1.0</v>
      </c>
      <c r="C54" s="17"/>
      <c r="D54" s="19">
        <v>1.0</v>
      </c>
    </row>
    <row r="55" ht="15.0" customHeight="1">
      <c r="A55" s="17" t="s">
        <v>55</v>
      </c>
      <c r="B55" s="18">
        <v>1.0</v>
      </c>
      <c r="C55" s="17"/>
      <c r="D55" s="19">
        <v>1.0</v>
      </c>
    </row>
    <row r="56" ht="18.0" customHeight="1">
      <c r="A56" s="14" t="s">
        <v>56</v>
      </c>
      <c r="B56" s="15">
        <f>SUM(B57:B58)</f>
        <v>2</v>
      </c>
      <c r="C56" s="14"/>
      <c r="D56" s="16">
        <f>IF(SUM(D57:D58)=0,"",SUM(D57:D58))</f>
        <v>2</v>
      </c>
    </row>
    <row r="57" ht="15.0" customHeight="1">
      <c r="A57" s="17" t="s">
        <v>57</v>
      </c>
      <c r="B57" s="18">
        <v>1.0</v>
      </c>
      <c r="C57" s="17"/>
      <c r="D57" s="19">
        <v>1.0</v>
      </c>
    </row>
    <row r="58" ht="15.0" customHeight="1">
      <c r="A58" s="17" t="s">
        <v>58</v>
      </c>
      <c r="B58" s="18">
        <v>1.0</v>
      </c>
      <c r="C58" s="17"/>
      <c r="D58" s="19">
        <v>1.0</v>
      </c>
    </row>
    <row r="59" ht="18.0" customHeight="1">
      <c r="A59" s="14" t="s">
        <v>59</v>
      </c>
      <c r="B59" s="15">
        <f>SUM(B60:B63)</f>
        <v>5</v>
      </c>
      <c r="C59" s="14"/>
      <c r="D59" s="16">
        <f>IF(SUM(D60:D63)=0,"",SUM(D60:D63))</f>
        <v>5</v>
      </c>
    </row>
    <row r="60" ht="15.0" customHeight="1">
      <c r="A60" s="17" t="s">
        <v>60</v>
      </c>
      <c r="B60" s="18">
        <v>2.0</v>
      </c>
      <c r="C60" s="17"/>
      <c r="D60" s="19">
        <v>2.0</v>
      </c>
    </row>
    <row r="61" ht="15.0" customHeight="1">
      <c r="A61" s="17" t="s">
        <v>61</v>
      </c>
      <c r="B61" s="18">
        <v>1.0</v>
      </c>
      <c r="C61" s="17"/>
      <c r="D61" s="19">
        <v>1.0</v>
      </c>
    </row>
    <row r="62" ht="15.0" customHeight="1">
      <c r="A62" s="17" t="s">
        <v>62</v>
      </c>
      <c r="B62" s="18">
        <v>1.0</v>
      </c>
      <c r="C62" s="17"/>
      <c r="D62" s="19">
        <v>1.0</v>
      </c>
    </row>
    <row r="63" ht="15.0" customHeight="1">
      <c r="A63" s="17" t="s">
        <v>63</v>
      </c>
      <c r="B63" s="18">
        <v>1.0</v>
      </c>
      <c r="C63" s="17"/>
      <c r="D63" s="19">
        <v>1.0</v>
      </c>
    </row>
    <row r="64" ht="19.5" customHeight="1">
      <c r="A64" s="11" t="s">
        <v>64</v>
      </c>
      <c r="B64" s="12">
        <f>B65+B71</f>
        <v>50</v>
      </c>
      <c r="C64" s="11"/>
      <c r="D64" s="13">
        <f>IF(N(D65)+N(D71)=0,"",N(D65)+N(D71))</f>
        <v>50</v>
      </c>
    </row>
    <row r="65" ht="18.0" customHeight="1">
      <c r="A65" s="14" t="s">
        <v>65</v>
      </c>
      <c r="B65" s="15">
        <f>SUM(B66:B70)</f>
        <v>20</v>
      </c>
      <c r="C65" s="14"/>
      <c r="D65" s="16">
        <f>IF(SUM(D66:D70)=0,"",SUM(D66:D70))</f>
        <v>20</v>
      </c>
    </row>
    <row r="66" ht="15.0" customHeight="1">
      <c r="A66" s="17" t="s">
        <v>66</v>
      </c>
      <c r="B66" s="18">
        <v>4.0</v>
      </c>
      <c r="C66" s="17"/>
      <c r="D66" s="19">
        <v>4.0</v>
      </c>
    </row>
    <row r="67" ht="15.0" customHeight="1">
      <c r="A67" s="17" t="s">
        <v>67</v>
      </c>
      <c r="B67" s="18">
        <v>4.0</v>
      </c>
      <c r="C67" s="17"/>
      <c r="D67" s="19">
        <v>4.0</v>
      </c>
    </row>
    <row r="68" ht="15.0" customHeight="1">
      <c r="A68" s="17" t="s">
        <v>68</v>
      </c>
      <c r="B68" s="18">
        <v>4.0</v>
      </c>
      <c r="C68" s="17"/>
      <c r="D68" s="19">
        <v>4.0</v>
      </c>
    </row>
    <row r="69" ht="15.0" customHeight="1">
      <c r="A69" s="17" t="s">
        <v>69</v>
      </c>
      <c r="B69" s="18">
        <v>4.0</v>
      </c>
      <c r="C69" s="17"/>
      <c r="D69" s="19">
        <v>4.0</v>
      </c>
    </row>
    <row r="70" ht="15.0" customHeight="1">
      <c r="A70" s="17" t="s">
        <v>70</v>
      </c>
      <c r="B70" s="18">
        <v>4.0</v>
      </c>
      <c r="C70" s="17"/>
      <c r="D70" s="19">
        <v>4.0</v>
      </c>
    </row>
    <row r="71" ht="18.0" customHeight="1">
      <c r="A71" s="14" t="s">
        <v>71</v>
      </c>
      <c r="B71" s="15">
        <f>SUM(B72:B74)</f>
        <v>30</v>
      </c>
      <c r="C71" s="14"/>
      <c r="D71" s="16">
        <f>IF(SUM(D72:D74)=0,"",SUM(D72:D74))</f>
        <v>30</v>
      </c>
    </row>
    <row r="72" ht="15.0" customHeight="1">
      <c r="A72" s="17" t="s">
        <v>72</v>
      </c>
      <c r="B72" s="18">
        <v>8.0</v>
      </c>
      <c r="C72" s="17"/>
      <c r="D72" s="19">
        <v>8.0</v>
      </c>
    </row>
    <row r="73" ht="15.0" customHeight="1">
      <c r="A73" s="17" t="s">
        <v>73</v>
      </c>
      <c r="B73" s="18">
        <v>14.0</v>
      </c>
      <c r="C73" s="17"/>
      <c r="D73" s="19">
        <v>14.0</v>
      </c>
    </row>
    <row r="74" ht="15.0" customHeight="1">
      <c r="A74" s="17" t="s">
        <v>74</v>
      </c>
      <c r="B74" s="18">
        <v>8.0</v>
      </c>
      <c r="C74" s="17"/>
      <c r="D74" s="19">
        <v>8.0</v>
      </c>
    </row>
    <row r="75" ht="19.5" customHeight="1">
      <c r="A75" s="21" t="s">
        <v>75</v>
      </c>
      <c r="B75" s="22">
        <f>B15+B29+B64</f>
        <v>100</v>
      </c>
      <c r="C75" s="23"/>
      <c r="D75" s="24">
        <f>IF(N(D15)+N(D29)+N(D64)=0,"",N(D15)+N(D29)+N(D64))</f>
        <v>100</v>
      </c>
    </row>
    <row r="76" ht="15.75" customHeight="1"/>
    <row r="77" ht="15.75" customHeight="1">
      <c r="A77" s="1" t="s">
        <v>76</v>
      </c>
      <c r="B77" s="2"/>
      <c r="C77" s="2"/>
      <c r="D77" s="2"/>
    </row>
    <row r="78" ht="15.75" customHeight="1">
      <c r="A78" s="10" t="s">
        <v>77</v>
      </c>
      <c r="B78" s="10" t="s">
        <v>78</v>
      </c>
      <c r="C78" s="10" t="s">
        <v>13</v>
      </c>
      <c r="D78" s="10"/>
    </row>
    <row r="79" ht="15.75" customHeight="1">
      <c r="A79" s="17" t="s">
        <v>79</v>
      </c>
      <c r="B79" s="25"/>
      <c r="C79" s="26"/>
      <c r="D79" s="27"/>
    </row>
    <row r="80" ht="15.75" customHeight="1">
      <c r="A80" s="17" t="s">
        <v>80</v>
      </c>
      <c r="B80" s="25"/>
      <c r="C80" s="26"/>
      <c r="D80" s="27"/>
    </row>
    <row r="81" ht="15.75" customHeight="1">
      <c r="A81" s="17" t="s">
        <v>81</v>
      </c>
      <c r="B81" s="25"/>
      <c r="C81" s="26"/>
      <c r="D81" s="27"/>
    </row>
    <row r="82" ht="15.75" customHeight="1">
      <c r="A82" s="17" t="s">
        <v>82</v>
      </c>
      <c r="B82" s="25"/>
      <c r="C82" s="26"/>
      <c r="D82" s="27"/>
    </row>
    <row r="83" ht="15.75" customHeight="1">
      <c r="A83" s="17" t="s">
        <v>83</v>
      </c>
      <c r="B83" s="25"/>
      <c r="C83" s="26"/>
      <c r="D83" s="27"/>
    </row>
    <row r="84" ht="15.75" customHeight="1">
      <c r="A84" s="17" t="s">
        <v>84</v>
      </c>
      <c r="B84" s="25"/>
      <c r="C84" s="26"/>
      <c r="D84" s="27"/>
    </row>
    <row r="85" ht="15.75" customHeight="1">
      <c r="A85" s="17" t="s">
        <v>85</v>
      </c>
      <c r="B85" s="25"/>
      <c r="C85" s="26"/>
      <c r="D85" s="27"/>
    </row>
    <row r="86" ht="15.75" customHeight="1"/>
    <row r="87" ht="15.75" customHeight="1">
      <c r="A87" s="1" t="s">
        <v>86</v>
      </c>
      <c r="B87" s="2"/>
      <c r="C87" s="2"/>
      <c r="D87" s="2"/>
    </row>
    <row r="88" ht="15.75" customHeight="1">
      <c r="A88" s="10" t="s">
        <v>87</v>
      </c>
      <c r="B88" s="10" t="s">
        <v>88</v>
      </c>
      <c r="C88" s="10" t="s">
        <v>89</v>
      </c>
      <c r="D88" s="10" t="s">
        <v>90</v>
      </c>
    </row>
    <row r="89" ht="15.75" customHeight="1">
      <c r="A89" s="17" t="s">
        <v>91</v>
      </c>
      <c r="B89" s="28">
        <v>-0.3</v>
      </c>
      <c r="C89" s="25"/>
      <c r="D89" s="30" t="str">
        <f t="shared" ref="D89:D106" si="1">IF(C89="Sí",$D$75*B89,"")</f>
        <v/>
      </c>
    </row>
    <row r="90" ht="15.75" customHeight="1">
      <c r="A90" s="17" t="s">
        <v>93</v>
      </c>
      <c r="B90" s="28">
        <v>-0.2</v>
      </c>
      <c r="C90" s="25"/>
      <c r="D90" s="30" t="str">
        <f t="shared" si="1"/>
        <v/>
      </c>
    </row>
    <row r="91" ht="15.75" customHeight="1">
      <c r="A91" s="17" t="s">
        <v>94</v>
      </c>
      <c r="B91" s="28">
        <v>-1.0</v>
      </c>
      <c r="C91" s="25"/>
      <c r="D91" s="30" t="str">
        <f t="shared" si="1"/>
        <v/>
      </c>
    </row>
    <row r="92" ht="15.75" customHeight="1">
      <c r="A92" s="17" t="s">
        <v>95</v>
      </c>
      <c r="B92" s="28">
        <v>-0.2</v>
      </c>
      <c r="C92" s="25"/>
      <c r="D92" s="30" t="str">
        <f t="shared" si="1"/>
        <v/>
      </c>
    </row>
    <row r="93" ht="15.75" customHeight="1">
      <c r="A93" s="17" t="s">
        <v>96</v>
      </c>
      <c r="B93" s="28">
        <v>-1.0</v>
      </c>
      <c r="C93" s="25"/>
      <c r="D93" s="30" t="str">
        <f t="shared" si="1"/>
        <v/>
      </c>
    </row>
    <row r="94" ht="15.75" customHeight="1">
      <c r="A94" s="17" t="s">
        <v>97</v>
      </c>
      <c r="B94" s="28">
        <v>-0.75</v>
      </c>
      <c r="C94" s="25"/>
      <c r="D94" s="30" t="str">
        <f t="shared" si="1"/>
        <v/>
      </c>
    </row>
    <row r="95" ht="15.75" customHeight="1">
      <c r="A95" s="17" t="s">
        <v>98</v>
      </c>
      <c r="B95" s="28">
        <v>-1.0</v>
      </c>
      <c r="C95" s="25"/>
      <c r="D95" s="30" t="str">
        <f t="shared" si="1"/>
        <v/>
      </c>
    </row>
    <row r="96" ht="15.75" customHeight="1">
      <c r="A96" s="17" t="s">
        <v>99</v>
      </c>
      <c r="B96" s="28">
        <v>-0.5</v>
      </c>
      <c r="C96" s="25"/>
      <c r="D96" s="30" t="str">
        <f t="shared" si="1"/>
        <v/>
      </c>
    </row>
    <row r="97" ht="15.75" customHeight="1">
      <c r="A97" s="17" t="s">
        <v>100</v>
      </c>
      <c r="B97" s="28">
        <v>-1.0</v>
      </c>
      <c r="C97" s="25"/>
      <c r="D97" s="30" t="str">
        <f t="shared" si="1"/>
        <v/>
      </c>
    </row>
    <row r="98" ht="15.75" customHeight="1">
      <c r="A98" s="17" t="s">
        <v>101</v>
      </c>
      <c r="B98" s="28">
        <v>-0.25</v>
      </c>
      <c r="C98" s="25"/>
      <c r="D98" s="30" t="str">
        <f t="shared" si="1"/>
        <v/>
      </c>
    </row>
    <row r="99" ht="15.75" customHeight="1">
      <c r="A99" s="17" t="s">
        <v>102</v>
      </c>
      <c r="B99" s="28">
        <v>-1.0</v>
      </c>
      <c r="C99" s="25"/>
      <c r="D99" s="30" t="str">
        <f t="shared" si="1"/>
        <v/>
      </c>
    </row>
    <row r="100" ht="15.75" customHeight="1">
      <c r="A100" s="17" t="s">
        <v>103</v>
      </c>
      <c r="B100" s="28">
        <v>-1.0</v>
      </c>
      <c r="C100" s="25"/>
      <c r="D100" s="30" t="str">
        <f t="shared" si="1"/>
        <v/>
      </c>
    </row>
    <row r="101" ht="15.75" customHeight="1">
      <c r="A101" s="17" t="s">
        <v>104</v>
      </c>
      <c r="B101" s="28">
        <v>-0.25</v>
      </c>
      <c r="C101" s="25"/>
      <c r="D101" s="30" t="str">
        <f t="shared" si="1"/>
        <v/>
      </c>
    </row>
    <row r="102" ht="15.75" customHeight="1">
      <c r="A102" s="17" t="s">
        <v>105</v>
      </c>
      <c r="B102" s="28">
        <v>-1.0</v>
      </c>
      <c r="C102" s="25"/>
      <c r="D102" s="30" t="str">
        <f t="shared" si="1"/>
        <v/>
      </c>
    </row>
    <row r="103" ht="15.75" customHeight="1">
      <c r="A103" s="17" t="s">
        <v>106</v>
      </c>
      <c r="B103" s="28">
        <v>-1.0</v>
      </c>
      <c r="C103" s="25"/>
      <c r="D103" s="30" t="str">
        <f t="shared" si="1"/>
        <v/>
      </c>
    </row>
    <row r="104" ht="15.75" customHeight="1">
      <c r="A104" s="17" t="s">
        <v>107</v>
      </c>
      <c r="B104" s="28">
        <v>-1.0</v>
      </c>
      <c r="C104" s="25"/>
      <c r="D104" s="30" t="str">
        <f t="shared" si="1"/>
        <v/>
      </c>
    </row>
    <row r="105" ht="15.75" customHeight="1">
      <c r="A105" s="17" t="s">
        <v>108</v>
      </c>
      <c r="B105" s="28">
        <v>-1.0</v>
      </c>
      <c r="C105" s="25"/>
      <c r="D105" s="30" t="str">
        <f t="shared" si="1"/>
        <v/>
      </c>
    </row>
    <row r="106" ht="15.75" customHeight="1">
      <c r="A106" s="17" t="s">
        <v>109</v>
      </c>
      <c r="B106" s="28">
        <v>-1.0</v>
      </c>
      <c r="C106" s="25"/>
      <c r="D106" s="30" t="str">
        <f t="shared" si="1"/>
        <v/>
      </c>
    </row>
    <row r="107" ht="15.75" customHeight="1">
      <c r="A107" s="21" t="s">
        <v>110</v>
      </c>
      <c r="B107" s="23"/>
      <c r="C107" s="23"/>
      <c r="D107" s="24" t="str">
        <f>IF(SUM(D89:D106)=0,"",SUM(D89:D106))</f>
        <v/>
      </c>
    </row>
    <row r="108" ht="15.75" customHeight="1"/>
    <row r="109" ht="21.75" customHeight="1">
      <c r="A109" s="31" t="s">
        <v>111</v>
      </c>
      <c r="B109" s="32"/>
      <c r="C109" s="32"/>
      <c r="D109" s="33">
        <f>IF(MAX(0,ROUND(N($D$75)+N($D$107),2))=0,"",MAX(0,ROUND(N($D$75)+N($D$107),2)))</f>
        <v>100</v>
      </c>
    </row>
    <row r="110" ht="15.75" customHeight="1"/>
    <row r="111" ht="15.75" customHeight="1">
      <c r="A111" s="34" t="s">
        <v>112</v>
      </c>
      <c r="B111" s="2"/>
      <c r="C111" s="2"/>
      <c r="D111" s="2"/>
    </row>
    <row r="112" ht="18.0" customHeight="1">
      <c r="A112" s="35"/>
      <c r="B112" s="36"/>
      <c r="C112" s="36"/>
      <c r="D112" s="37"/>
    </row>
    <row r="113" ht="18.0" customHeight="1">
      <c r="A113" s="35"/>
      <c r="B113" s="36"/>
      <c r="C113" s="36"/>
      <c r="D113" s="37"/>
    </row>
    <row r="114" ht="15.75" customHeight="1"/>
    <row r="115" ht="15.75" customHeight="1"/>
    <row r="116" ht="8.25" customHeight="1">
      <c r="A116" s="38" t="s">
        <v>113</v>
      </c>
      <c r="B116" s="2"/>
      <c r="C116" s="38" t="s">
        <v>113</v>
      </c>
      <c r="D116" s="2"/>
    </row>
    <row r="117" ht="13.5" customHeight="1">
      <c r="A117" s="38" t="s">
        <v>114</v>
      </c>
      <c r="B117" s="2"/>
      <c r="C117" s="38" t="s">
        <v>115</v>
      </c>
      <c r="D117" s="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2:D112"/>
    <mergeCell ref="A113:D113"/>
    <mergeCell ref="A8:D8"/>
    <mergeCell ref="A10:B10"/>
    <mergeCell ref="C10:D10"/>
    <mergeCell ref="A11:B11"/>
    <mergeCell ref="C11:D11"/>
    <mergeCell ref="A12:B12"/>
    <mergeCell ref="C12:D12"/>
  </mergeCells>
  <conditionalFormatting sqref="D15:D74">
    <cfRule type="cellIs" dxfId="0" priority="1" operator="greaterThan">
      <formula>B15</formula>
    </cfRule>
  </conditionalFormatting>
  <dataValidations>
    <dataValidation type="list" allowBlank="1" sqref="B79:B85 C89:C106">
      <formula1>"Sí,No"</formula1>
    </dataValidation>
  </dataValidations>
  <printOptions horizontalCentered="1"/>
  <pageMargins bottom="0.196527777777778" footer="0.0" header="0.0" left="0.39375" right="0.39375" top="0.196527777777778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0.71"/>
    <col customWidth="1" min="3" max="3" width="35.43"/>
    <col customWidth="1" min="4" max="4" width="12.14"/>
    <col customWidth="1" min="5" max="5" width="13.86"/>
    <col customWidth="1" min="6" max="6" width="11.0"/>
    <col customWidth="1" min="7" max="7" width="8.71"/>
    <col customWidth="1" min="8" max="8" width="12.86"/>
    <col customWidth="1" min="9" max="9" width="12.0"/>
    <col customWidth="1" min="10" max="10" width="9.71"/>
    <col customWidth="1" min="11" max="11" width="13.0"/>
    <col customWidth="1" min="12" max="12" width="15.57"/>
    <col customWidth="1" min="13" max="13" width="81.14"/>
    <col customWidth="1" min="14" max="14" width="26.0"/>
    <col customWidth="1" min="15" max="26" width="14.57"/>
  </cols>
  <sheetData>
    <row r="1" ht="15.75" customHeight="1">
      <c r="A1" s="39" t="s">
        <v>116</v>
      </c>
    </row>
    <row r="2" ht="27.75" customHeight="1">
      <c r="A2" s="40" t="s">
        <v>117</v>
      </c>
      <c r="B2" s="41" t="s">
        <v>118</v>
      </c>
      <c r="C2" s="41" t="s">
        <v>119</v>
      </c>
      <c r="D2" s="40" t="s">
        <v>120</v>
      </c>
      <c r="E2" s="40" t="s">
        <v>121</v>
      </c>
      <c r="F2" s="40" t="s">
        <v>122</v>
      </c>
      <c r="G2" s="40" t="s">
        <v>123</v>
      </c>
      <c r="H2" s="40" t="s">
        <v>88</v>
      </c>
      <c r="I2" s="40" t="s">
        <v>124</v>
      </c>
      <c r="J2" s="41" t="s">
        <v>125</v>
      </c>
      <c r="K2" s="41" t="s">
        <v>126</v>
      </c>
      <c r="L2" s="41" t="s">
        <v>127</v>
      </c>
      <c r="M2" s="40" t="s">
        <v>128</v>
      </c>
    </row>
    <row r="3">
      <c r="A3" s="42">
        <v>1.0</v>
      </c>
      <c r="B3" s="43">
        <v>2.01503481E8</v>
      </c>
      <c r="C3" s="43" t="s">
        <v>129</v>
      </c>
      <c r="D3" s="44">
        <f t="shared" ref="D3:D26" si="1">IF($B3="","",N(IFERROR(INDIRECT("'"&amp;$B3&amp;"'!D15"),0)))</f>
        <v>0</v>
      </c>
      <c r="E3" s="45">
        <f t="shared" ref="E3:E26" si="2">IF($B3="","",N(IFERROR(INDIRECT("'"&amp;$B3&amp;"'!D29"),0)))</f>
        <v>0</v>
      </c>
      <c r="F3" s="45">
        <f t="shared" ref="F3:F26" si="3">IF($B3="","",N(IFERROR(INDIRECT("'"&amp;$B3&amp;"'!D64"),0)))</f>
        <v>0</v>
      </c>
      <c r="G3" s="30">
        <f t="shared" ref="G3:G26" si="4">IF(C3="","",SUM(D3:F3))</f>
        <v>0</v>
      </c>
      <c r="H3" s="46">
        <f t="shared" ref="H3:H26" si="5">IF($B3="",0,MAX(-1,IFERROR(SUMIF(INDIRECT("'"&amp;$B3&amp;"'!C89:C106"),"S*",INDIRECT("'"&amp;$B3&amp;"'!B89:B106")),0)))</f>
        <v>0</v>
      </c>
      <c r="I3" s="47">
        <f t="shared" ref="I3:I26" si="6">IF(C3="","",MAX(0,ROUND(G3*(1+H3),2)))</f>
        <v>0</v>
      </c>
      <c r="J3" s="48"/>
      <c r="K3" s="48"/>
      <c r="L3" s="48"/>
      <c r="M3" s="49"/>
    </row>
    <row r="4">
      <c r="A4" s="42">
        <v>2.0</v>
      </c>
      <c r="B4" s="43" t="s">
        <v>130</v>
      </c>
      <c r="C4" s="43" t="s">
        <v>131</v>
      </c>
      <c r="D4" s="44">
        <f t="shared" si="1"/>
        <v>0</v>
      </c>
      <c r="E4" s="45">
        <f t="shared" si="2"/>
        <v>0</v>
      </c>
      <c r="F4" s="45">
        <f t="shared" si="3"/>
        <v>0</v>
      </c>
      <c r="G4" s="30">
        <f t="shared" si="4"/>
        <v>0</v>
      </c>
      <c r="H4" s="46">
        <f t="shared" si="5"/>
        <v>0</v>
      </c>
      <c r="I4" s="47">
        <f t="shared" si="6"/>
        <v>0</v>
      </c>
      <c r="J4" s="48"/>
      <c r="K4" s="48"/>
      <c r="L4" s="48"/>
      <c r="M4" s="49"/>
    </row>
    <row r="5">
      <c r="A5" s="42">
        <v>3.0</v>
      </c>
      <c r="B5" s="43" t="s">
        <v>132</v>
      </c>
      <c r="C5" s="43" t="s">
        <v>133</v>
      </c>
      <c r="D5" s="44">
        <f t="shared" si="1"/>
        <v>0</v>
      </c>
      <c r="E5" s="45">
        <f t="shared" si="2"/>
        <v>0</v>
      </c>
      <c r="F5" s="45">
        <f t="shared" si="3"/>
        <v>0</v>
      </c>
      <c r="G5" s="30">
        <f t="shared" si="4"/>
        <v>0</v>
      </c>
      <c r="H5" s="46">
        <f t="shared" si="5"/>
        <v>0</v>
      </c>
      <c r="I5" s="47">
        <f t="shared" si="6"/>
        <v>0</v>
      </c>
      <c r="J5" s="48"/>
      <c r="K5" s="48"/>
      <c r="L5" s="48"/>
      <c r="M5" s="48"/>
    </row>
    <row r="6">
      <c r="A6" s="42">
        <v>4.0</v>
      </c>
      <c r="B6" s="43" t="s">
        <v>134</v>
      </c>
      <c r="C6" s="43" t="s">
        <v>135</v>
      </c>
      <c r="D6" s="44">
        <f t="shared" si="1"/>
        <v>0</v>
      </c>
      <c r="E6" s="45">
        <f t="shared" si="2"/>
        <v>0</v>
      </c>
      <c r="F6" s="45">
        <f t="shared" si="3"/>
        <v>0</v>
      </c>
      <c r="G6" s="30">
        <f t="shared" si="4"/>
        <v>0</v>
      </c>
      <c r="H6" s="46">
        <f t="shared" si="5"/>
        <v>0</v>
      </c>
      <c r="I6" s="47">
        <f t="shared" si="6"/>
        <v>0</v>
      </c>
      <c r="J6" s="48"/>
      <c r="K6" s="48"/>
      <c r="L6" s="48"/>
      <c r="M6" s="49"/>
    </row>
    <row r="7">
      <c r="A7" s="42">
        <v>5.0</v>
      </c>
      <c r="B7" s="43" t="s">
        <v>136</v>
      </c>
      <c r="C7" s="43" t="s">
        <v>137</v>
      </c>
      <c r="D7" s="44">
        <f t="shared" si="1"/>
        <v>0</v>
      </c>
      <c r="E7" s="45">
        <f t="shared" si="2"/>
        <v>0</v>
      </c>
      <c r="F7" s="45">
        <f t="shared" si="3"/>
        <v>0</v>
      </c>
      <c r="G7" s="30">
        <f t="shared" si="4"/>
        <v>0</v>
      </c>
      <c r="H7" s="46">
        <f t="shared" si="5"/>
        <v>0</v>
      </c>
      <c r="I7" s="47">
        <f t="shared" si="6"/>
        <v>0</v>
      </c>
      <c r="J7" s="48"/>
      <c r="K7" s="48"/>
      <c r="L7" s="48"/>
      <c r="M7" s="49"/>
    </row>
    <row r="8">
      <c r="A8" s="42">
        <v>6.0</v>
      </c>
      <c r="B8" s="43" t="s">
        <v>138</v>
      </c>
      <c r="C8" s="43" t="s">
        <v>139</v>
      </c>
      <c r="D8" s="44">
        <f t="shared" si="1"/>
        <v>0</v>
      </c>
      <c r="E8" s="45">
        <f t="shared" si="2"/>
        <v>0</v>
      </c>
      <c r="F8" s="45">
        <f t="shared" si="3"/>
        <v>0</v>
      </c>
      <c r="G8" s="30">
        <f t="shared" si="4"/>
        <v>0</v>
      </c>
      <c r="H8" s="46">
        <f t="shared" si="5"/>
        <v>0</v>
      </c>
      <c r="I8" s="47">
        <f t="shared" si="6"/>
        <v>0</v>
      </c>
      <c r="J8" s="48"/>
      <c r="K8" s="48"/>
      <c r="L8" s="48"/>
      <c r="M8" s="49"/>
    </row>
    <row r="9">
      <c r="A9" s="42">
        <v>7.0</v>
      </c>
      <c r="B9" s="43" t="s">
        <v>140</v>
      </c>
      <c r="C9" s="43" t="s">
        <v>141</v>
      </c>
      <c r="D9" s="44">
        <f t="shared" si="1"/>
        <v>0</v>
      </c>
      <c r="E9" s="45">
        <f t="shared" si="2"/>
        <v>0</v>
      </c>
      <c r="F9" s="45">
        <f t="shared" si="3"/>
        <v>0</v>
      </c>
      <c r="G9" s="30">
        <f t="shared" si="4"/>
        <v>0</v>
      </c>
      <c r="H9" s="46">
        <f t="shared" si="5"/>
        <v>0</v>
      </c>
      <c r="I9" s="47">
        <f t="shared" si="6"/>
        <v>0</v>
      </c>
      <c r="J9" s="48"/>
      <c r="K9" s="48"/>
      <c r="L9" s="48"/>
      <c r="M9" s="49"/>
    </row>
    <row r="10">
      <c r="A10" s="50">
        <v>8.0</v>
      </c>
      <c r="B10" s="43" t="s">
        <v>142</v>
      </c>
      <c r="C10" s="43" t="s">
        <v>143</v>
      </c>
      <c r="D10" s="44">
        <f t="shared" si="1"/>
        <v>0</v>
      </c>
      <c r="E10" s="45">
        <f t="shared" si="2"/>
        <v>0</v>
      </c>
      <c r="F10" s="45">
        <f t="shared" si="3"/>
        <v>0</v>
      </c>
      <c r="G10" s="30">
        <f t="shared" si="4"/>
        <v>0</v>
      </c>
      <c r="H10" s="46">
        <f t="shared" si="5"/>
        <v>0</v>
      </c>
      <c r="I10" s="47">
        <f t="shared" si="6"/>
        <v>0</v>
      </c>
      <c r="J10" s="48"/>
      <c r="K10" s="48"/>
      <c r="L10" s="48"/>
      <c r="M10" s="48"/>
    </row>
    <row r="11">
      <c r="A11" s="42">
        <v>9.0</v>
      </c>
      <c r="B11" s="43" t="s">
        <v>144</v>
      </c>
      <c r="C11" s="43" t="s">
        <v>145</v>
      </c>
      <c r="D11" s="44">
        <f t="shared" si="1"/>
        <v>0</v>
      </c>
      <c r="E11" s="45">
        <f t="shared" si="2"/>
        <v>0</v>
      </c>
      <c r="F11" s="45">
        <f t="shared" si="3"/>
        <v>0</v>
      </c>
      <c r="G11" s="30">
        <f t="shared" si="4"/>
        <v>0</v>
      </c>
      <c r="H11" s="46">
        <f t="shared" si="5"/>
        <v>0</v>
      </c>
      <c r="I11" s="47">
        <f t="shared" si="6"/>
        <v>0</v>
      </c>
      <c r="J11" s="48"/>
      <c r="K11" s="48"/>
      <c r="L11" s="48"/>
      <c r="M11" s="49"/>
    </row>
    <row r="12">
      <c r="A12" s="42">
        <v>10.0</v>
      </c>
      <c r="B12" s="43" t="s">
        <v>146</v>
      </c>
      <c r="C12" s="43" t="s">
        <v>147</v>
      </c>
      <c r="D12" s="44">
        <f t="shared" si="1"/>
        <v>7.5</v>
      </c>
      <c r="E12" s="45">
        <f t="shared" si="2"/>
        <v>35</v>
      </c>
      <c r="F12" s="45">
        <f t="shared" si="3"/>
        <v>11</v>
      </c>
      <c r="G12" s="30">
        <f t="shared" si="4"/>
        <v>53.5</v>
      </c>
      <c r="H12" s="46">
        <f t="shared" si="5"/>
        <v>0</v>
      </c>
      <c r="I12" s="47">
        <f t="shared" si="6"/>
        <v>53.5</v>
      </c>
      <c r="J12" s="48"/>
      <c r="K12" s="48"/>
      <c r="L12" s="48"/>
      <c r="M12" s="49"/>
    </row>
    <row r="13">
      <c r="A13" s="42">
        <v>11.0</v>
      </c>
      <c r="B13" s="43" t="s">
        <v>148</v>
      </c>
      <c r="C13" s="43" t="s">
        <v>149</v>
      </c>
      <c r="D13" s="44">
        <f t="shared" si="1"/>
        <v>15</v>
      </c>
      <c r="E13" s="45">
        <f t="shared" si="2"/>
        <v>35</v>
      </c>
      <c r="F13" s="45">
        <f t="shared" si="3"/>
        <v>0</v>
      </c>
      <c r="G13" s="30">
        <f t="shared" si="4"/>
        <v>50</v>
      </c>
      <c r="H13" s="46">
        <f t="shared" si="5"/>
        <v>0</v>
      </c>
      <c r="I13" s="47">
        <f t="shared" si="6"/>
        <v>50</v>
      </c>
      <c r="J13" s="48"/>
      <c r="K13" s="48"/>
      <c r="L13" s="48"/>
      <c r="M13" s="48"/>
    </row>
    <row r="14">
      <c r="A14" s="42">
        <v>12.0</v>
      </c>
      <c r="B14" s="43" t="s">
        <v>150</v>
      </c>
      <c r="C14" s="43" t="s">
        <v>151</v>
      </c>
      <c r="D14" s="44">
        <f t="shared" si="1"/>
        <v>0</v>
      </c>
      <c r="E14" s="45">
        <f t="shared" si="2"/>
        <v>0</v>
      </c>
      <c r="F14" s="45">
        <f t="shared" si="3"/>
        <v>0</v>
      </c>
      <c r="G14" s="30">
        <f t="shared" si="4"/>
        <v>0</v>
      </c>
      <c r="H14" s="46">
        <f t="shared" si="5"/>
        <v>0</v>
      </c>
      <c r="I14" s="47">
        <f t="shared" si="6"/>
        <v>0</v>
      </c>
      <c r="J14" s="48"/>
      <c r="K14" s="48"/>
      <c r="L14" s="48"/>
      <c r="M14" s="49"/>
    </row>
    <row r="15">
      <c r="A15" s="42">
        <v>13.0</v>
      </c>
      <c r="B15" s="43" t="s">
        <v>152</v>
      </c>
      <c r="C15" s="43" t="s">
        <v>153</v>
      </c>
      <c r="D15" s="44">
        <f t="shared" si="1"/>
        <v>15</v>
      </c>
      <c r="E15" s="45">
        <f t="shared" si="2"/>
        <v>35</v>
      </c>
      <c r="F15" s="45">
        <f t="shared" si="3"/>
        <v>7</v>
      </c>
      <c r="G15" s="30">
        <f t="shared" si="4"/>
        <v>57</v>
      </c>
      <c r="H15" s="46">
        <f t="shared" si="5"/>
        <v>0</v>
      </c>
      <c r="I15" s="47">
        <f t="shared" si="6"/>
        <v>57</v>
      </c>
      <c r="J15" s="48"/>
      <c r="K15" s="48"/>
      <c r="L15" s="48"/>
      <c r="M15" s="48"/>
    </row>
    <row r="16">
      <c r="A16" s="42">
        <v>14.0</v>
      </c>
      <c r="B16" s="43" t="s">
        <v>154</v>
      </c>
      <c r="C16" s="43" t="s">
        <v>155</v>
      </c>
      <c r="D16" s="44">
        <f t="shared" si="1"/>
        <v>0</v>
      </c>
      <c r="E16" s="45">
        <f t="shared" si="2"/>
        <v>0</v>
      </c>
      <c r="F16" s="45">
        <f t="shared" si="3"/>
        <v>0</v>
      </c>
      <c r="G16" s="30">
        <f t="shared" si="4"/>
        <v>0</v>
      </c>
      <c r="H16" s="46">
        <f t="shared" si="5"/>
        <v>0</v>
      </c>
      <c r="I16" s="47">
        <f t="shared" si="6"/>
        <v>0</v>
      </c>
      <c r="J16" s="48"/>
      <c r="K16" s="48"/>
      <c r="L16" s="48"/>
      <c r="M16" s="49"/>
    </row>
    <row r="17">
      <c r="A17" s="42">
        <v>15.0</v>
      </c>
      <c r="B17" s="43" t="s">
        <v>156</v>
      </c>
      <c r="C17" s="43" t="s">
        <v>157</v>
      </c>
      <c r="D17" s="44">
        <f t="shared" si="1"/>
        <v>15</v>
      </c>
      <c r="E17" s="45">
        <f t="shared" si="2"/>
        <v>35</v>
      </c>
      <c r="F17" s="45">
        <f t="shared" si="3"/>
        <v>15</v>
      </c>
      <c r="G17" s="30">
        <f t="shared" si="4"/>
        <v>65</v>
      </c>
      <c r="H17" s="46">
        <f t="shared" si="5"/>
        <v>0</v>
      </c>
      <c r="I17" s="47">
        <f t="shared" si="6"/>
        <v>65</v>
      </c>
      <c r="J17" s="48"/>
      <c r="K17" s="48"/>
      <c r="L17" s="48"/>
      <c r="M17" s="49"/>
    </row>
    <row r="18" ht="15.75" customHeight="1">
      <c r="A18" s="42">
        <v>16.0</v>
      </c>
      <c r="B18" s="43" t="s">
        <v>158</v>
      </c>
      <c r="C18" s="43" t="s">
        <v>159</v>
      </c>
      <c r="D18" s="44">
        <f t="shared" si="1"/>
        <v>0</v>
      </c>
      <c r="E18" s="45">
        <f t="shared" si="2"/>
        <v>0</v>
      </c>
      <c r="F18" s="45">
        <f t="shared" si="3"/>
        <v>0</v>
      </c>
      <c r="G18" s="30">
        <f t="shared" si="4"/>
        <v>0</v>
      </c>
      <c r="H18" s="46">
        <f t="shared" si="5"/>
        <v>0</v>
      </c>
      <c r="I18" s="47">
        <f t="shared" si="6"/>
        <v>0</v>
      </c>
      <c r="J18" s="48"/>
      <c r="K18" s="48"/>
      <c r="L18" s="48"/>
      <c r="M18" s="49"/>
    </row>
    <row r="19" ht="15.75" customHeight="1">
      <c r="A19" s="42">
        <v>17.0</v>
      </c>
      <c r="B19" s="43" t="s">
        <v>160</v>
      </c>
      <c r="C19" s="43" t="s">
        <v>161</v>
      </c>
      <c r="D19" s="44">
        <f t="shared" si="1"/>
        <v>15</v>
      </c>
      <c r="E19" s="45">
        <f t="shared" si="2"/>
        <v>35</v>
      </c>
      <c r="F19" s="45">
        <f t="shared" si="3"/>
        <v>19</v>
      </c>
      <c r="G19" s="30">
        <f t="shared" si="4"/>
        <v>69</v>
      </c>
      <c r="H19" s="46">
        <f t="shared" si="5"/>
        <v>0</v>
      </c>
      <c r="I19" s="47">
        <f t="shared" si="6"/>
        <v>69</v>
      </c>
      <c r="J19" s="48"/>
      <c r="K19" s="48"/>
      <c r="L19" s="48"/>
      <c r="M19" s="49"/>
    </row>
    <row r="20" ht="15.75" customHeight="1">
      <c r="A20" s="50">
        <v>18.0</v>
      </c>
      <c r="B20" s="43" t="s">
        <v>162</v>
      </c>
      <c r="C20" s="43" t="s">
        <v>163</v>
      </c>
      <c r="D20" s="44">
        <f t="shared" si="1"/>
        <v>12.5</v>
      </c>
      <c r="E20" s="45">
        <f t="shared" si="2"/>
        <v>35</v>
      </c>
      <c r="F20" s="45">
        <f t="shared" si="3"/>
        <v>19</v>
      </c>
      <c r="G20" s="30">
        <f t="shared" si="4"/>
        <v>66.5</v>
      </c>
      <c r="H20" s="46">
        <f t="shared" si="5"/>
        <v>0</v>
      </c>
      <c r="I20" s="47">
        <f t="shared" si="6"/>
        <v>66.5</v>
      </c>
      <c r="J20" s="48"/>
      <c r="K20" s="48"/>
      <c r="L20" s="48"/>
      <c r="M20" s="48"/>
    </row>
    <row r="21" ht="15.75" customHeight="1">
      <c r="A21" s="42">
        <v>19.0</v>
      </c>
      <c r="B21" s="43" t="s">
        <v>164</v>
      </c>
      <c r="C21" s="43" t="s">
        <v>165</v>
      </c>
      <c r="D21" s="44">
        <f t="shared" si="1"/>
        <v>15</v>
      </c>
      <c r="E21" s="45">
        <f t="shared" si="2"/>
        <v>35</v>
      </c>
      <c r="F21" s="45">
        <f t="shared" si="3"/>
        <v>50</v>
      </c>
      <c r="G21" s="30">
        <f t="shared" si="4"/>
        <v>100</v>
      </c>
      <c r="H21" s="46">
        <f t="shared" si="5"/>
        <v>0</v>
      </c>
      <c r="I21" s="47">
        <f t="shared" si="6"/>
        <v>100</v>
      </c>
      <c r="J21" s="48"/>
      <c r="K21" s="48"/>
      <c r="L21" s="48"/>
      <c r="M21" s="48"/>
    </row>
    <row r="22" ht="15.75" customHeight="1">
      <c r="A22" s="42">
        <v>20.0</v>
      </c>
      <c r="B22" s="43" t="s">
        <v>166</v>
      </c>
      <c r="C22" s="43" t="s">
        <v>167</v>
      </c>
      <c r="D22" s="44">
        <f t="shared" si="1"/>
        <v>0</v>
      </c>
      <c r="E22" s="45">
        <f t="shared" si="2"/>
        <v>0</v>
      </c>
      <c r="F22" s="45">
        <f t="shared" si="3"/>
        <v>0</v>
      </c>
      <c r="G22" s="30">
        <f t="shared" si="4"/>
        <v>0</v>
      </c>
      <c r="H22" s="46">
        <f t="shared" si="5"/>
        <v>0</v>
      </c>
      <c r="I22" s="47">
        <f t="shared" si="6"/>
        <v>0</v>
      </c>
      <c r="J22" s="48"/>
      <c r="K22" s="48"/>
      <c r="L22" s="48"/>
      <c r="M22" s="49"/>
    </row>
    <row r="23" ht="15.75" customHeight="1">
      <c r="A23" s="42">
        <v>21.0</v>
      </c>
      <c r="B23" s="43" t="s">
        <v>168</v>
      </c>
      <c r="C23" s="43" t="s">
        <v>169</v>
      </c>
      <c r="D23" s="44">
        <f t="shared" si="1"/>
        <v>15</v>
      </c>
      <c r="E23" s="45">
        <f t="shared" si="2"/>
        <v>35</v>
      </c>
      <c r="F23" s="45">
        <f t="shared" si="3"/>
        <v>36</v>
      </c>
      <c r="G23" s="30">
        <f t="shared" si="4"/>
        <v>86</v>
      </c>
      <c r="H23" s="46">
        <f t="shared" si="5"/>
        <v>0</v>
      </c>
      <c r="I23" s="47">
        <f t="shared" si="6"/>
        <v>86</v>
      </c>
      <c r="J23" s="48"/>
      <c r="K23" s="48"/>
      <c r="L23" s="48"/>
      <c r="M23" s="49"/>
    </row>
    <row r="24" ht="15.75" customHeight="1">
      <c r="A24" s="42">
        <v>22.0</v>
      </c>
      <c r="B24" s="43" t="s">
        <v>170</v>
      </c>
      <c r="C24" s="43" t="s">
        <v>171</v>
      </c>
      <c r="D24" s="44">
        <f t="shared" si="1"/>
        <v>0</v>
      </c>
      <c r="E24" s="45">
        <f t="shared" si="2"/>
        <v>0</v>
      </c>
      <c r="F24" s="45">
        <f t="shared" si="3"/>
        <v>0</v>
      </c>
      <c r="G24" s="30">
        <f t="shared" si="4"/>
        <v>0</v>
      </c>
      <c r="H24" s="46">
        <f t="shared" si="5"/>
        <v>0</v>
      </c>
      <c r="I24" s="47">
        <f t="shared" si="6"/>
        <v>0</v>
      </c>
      <c r="J24" s="48"/>
      <c r="K24" s="48"/>
      <c r="L24" s="48"/>
      <c r="M24" s="48"/>
    </row>
    <row r="25" ht="15.75" customHeight="1">
      <c r="A25" s="42">
        <v>23.0</v>
      </c>
      <c r="B25" s="43" t="s">
        <v>172</v>
      </c>
      <c r="C25" s="43" t="s">
        <v>173</v>
      </c>
      <c r="D25" s="44">
        <f t="shared" si="1"/>
        <v>15</v>
      </c>
      <c r="E25" s="45">
        <f t="shared" si="2"/>
        <v>35</v>
      </c>
      <c r="F25" s="45">
        <f t="shared" si="3"/>
        <v>14</v>
      </c>
      <c r="G25" s="30">
        <f t="shared" si="4"/>
        <v>64</v>
      </c>
      <c r="H25" s="46">
        <f t="shared" si="5"/>
        <v>0</v>
      </c>
      <c r="I25" s="47">
        <f t="shared" si="6"/>
        <v>64</v>
      </c>
      <c r="J25" s="48"/>
      <c r="K25" s="48"/>
      <c r="L25" s="48"/>
      <c r="M25" s="49"/>
      <c r="N25" s="51"/>
    </row>
    <row r="26" ht="15.75" customHeight="1">
      <c r="A26" s="42">
        <v>24.0</v>
      </c>
      <c r="B26" s="43" t="s">
        <v>174</v>
      </c>
      <c r="C26" s="43" t="s">
        <v>175</v>
      </c>
      <c r="D26" s="44">
        <f t="shared" si="1"/>
        <v>15</v>
      </c>
      <c r="E26" s="45">
        <f t="shared" si="2"/>
        <v>33</v>
      </c>
      <c r="F26" s="45">
        <f t="shared" si="3"/>
        <v>26</v>
      </c>
      <c r="G26" s="30">
        <f t="shared" si="4"/>
        <v>74</v>
      </c>
      <c r="H26" s="46">
        <f t="shared" si="5"/>
        <v>0</v>
      </c>
      <c r="I26" s="47">
        <f t="shared" si="6"/>
        <v>74</v>
      </c>
      <c r="J26" s="48"/>
      <c r="K26" s="48"/>
      <c r="L26" s="48"/>
      <c r="M26" s="49"/>
    </row>
    <row r="27" ht="15.75" customHeight="1"/>
    <row r="28" ht="15.75" customHeight="1">
      <c r="C28" s="52" t="s">
        <v>176</v>
      </c>
      <c r="D28" s="53">
        <f>COUNT(I3:I26)</f>
        <v>24</v>
      </c>
    </row>
    <row r="29" ht="15.75" customHeight="1">
      <c r="C29" s="52" t="s">
        <v>177</v>
      </c>
      <c r="D29" s="24">
        <f>IFERROR(AVERAGE(I3:I26),0)</f>
        <v>28.54166667</v>
      </c>
    </row>
    <row r="30" ht="15.75" customHeight="1">
      <c r="C30" s="52" t="s">
        <v>178</v>
      </c>
      <c r="D30" s="24">
        <f>IFERROR(MAX(I3:I26),0)</f>
        <v>100</v>
      </c>
    </row>
    <row r="31" ht="15.75" customHeight="1">
      <c r="C31" s="52" t="s">
        <v>179</v>
      </c>
      <c r="D31" s="24">
        <f>IFERROR(MIN(I3:I26),0)</f>
        <v>0</v>
      </c>
    </row>
    <row r="32" ht="15.75" customHeight="1">
      <c r="C32" s="52" t="s">
        <v>180</v>
      </c>
      <c r="D32" s="53">
        <f>COUNTIF(I3:I26,"&gt;=61")</f>
        <v>7</v>
      </c>
    </row>
    <row r="33" ht="15.75" customHeight="1">
      <c r="C33" s="52" t="s">
        <v>181</v>
      </c>
      <c r="D33" s="53">
        <f>COUNT(I3:I26)-COUNTIF(I3:I26,"&gt;=61")</f>
        <v>17</v>
      </c>
      <c r="K33" s="54"/>
      <c r="L33" s="55"/>
    </row>
    <row r="34" ht="15.75" customHeight="1">
      <c r="K34" s="56"/>
      <c r="L34" s="55"/>
    </row>
    <row r="35" ht="15.75" customHeight="1">
      <c r="K35" s="56"/>
      <c r="L35" s="55"/>
    </row>
    <row r="36" ht="15.75" customHeight="1">
      <c r="K36" s="56"/>
      <c r="L36" s="55"/>
    </row>
    <row r="37" ht="15.75" customHeight="1">
      <c r="K37" s="56"/>
      <c r="L37" s="55"/>
    </row>
    <row r="38" ht="15.75" customHeight="1">
      <c r="K38" s="56"/>
      <c r="L38" s="55"/>
    </row>
    <row r="39" ht="15.75" customHeight="1">
      <c r="K39" s="56"/>
      <c r="L39" s="55"/>
    </row>
    <row r="40" ht="15.75" customHeight="1">
      <c r="K40" s="57"/>
      <c r="L40" s="55"/>
    </row>
    <row r="41" ht="15.75" customHeight="1">
      <c r="K41" s="56"/>
      <c r="L41" s="55"/>
    </row>
    <row r="42" ht="15.75" customHeight="1">
      <c r="K42" s="56"/>
      <c r="L42" s="55"/>
    </row>
    <row r="43" ht="15.75" customHeight="1">
      <c r="K43" s="56"/>
      <c r="L43" s="55"/>
    </row>
    <row r="44" ht="15.75" customHeight="1">
      <c r="K44" s="56"/>
      <c r="L44" s="55"/>
    </row>
    <row r="45" ht="15.75" customHeight="1">
      <c r="K45" s="58"/>
      <c r="L45" s="55"/>
    </row>
    <row r="46" ht="15.75" customHeight="1">
      <c r="K46" s="56"/>
      <c r="L46" s="55"/>
    </row>
    <row r="47" ht="15.75" customHeight="1">
      <c r="K47" s="56"/>
      <c r="L47" s="55"/>
    </row>
    <row r="48" ht="15.75" customHeight="1">
      <c r="K48" s="56"/>
      <c r="L48" s="55"/>
    </row>
    <row r="49" ht="15.75" customHeight="1">
      <c r="K49" s="56"/>
      <c r="L49" s="55"/>
    </row>
    <row r="50" ht="15.75" customHeight="1">
      <c r="K50" s="57"/>
      <c r="L50" s="55"/>
    </row>
    <row r="51" ht="15.75" customHeight="1">
      <c r="K51" s="56"/>
      <c r="L51" s="55"/>
    </row>
    <row r="52" ht="15.75" customHeight="1">
      <c r="K52" s="56"/>
      <c r="L52" s="55"/>
    </row>
    <row r="53" ht="15.75" customHeight="1">
      <c r="K53" s="56"/>
      <c r="L53" s="55"/>
    </row>
    <row r="54" ht="15.75" customHeight="1">
      <c r="K54" s="56"/>
      <c r="L54" s="55"/>
    </row>
    <row r="55" ht="15.75" customHeight="1">
      <c r="K55" s="56"/>
      <c r="L55" s="55"/>
    </row>
    <row r="56" ht="15.75" customHeight="1">
      <c r="K56" s="56"/>
      <c r="L56" s="5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26">
    <sortState ref="A2:Z26">
      <sortCondition ref="A2:A26"/>
    </sortState>
  </autoFilter>
  <mergeCells count="1">
    <mergeCell ref="A1:M1"/>
  </mergeCells>
  <conditionalFormatting sqref="I3:I26">
    <cfRule type="colorScale" priority="1">
      <colorScale>
        <cfvo type="formula" val="0"/>
        <cfvo type="formula" val="50"/>
        <cfvo type="formula" val="100"/>
        <color rgb="FFFF0000"/>
        <color rgb="FFFFD666"/>
        <color rgb="FF57BB8A"/>
      </colorScale>
    </cfRule>
  </conditionalFormatting>
  <dataValidations>
    <dataValidation type="list" allowBlank="1" showErrorMessage="1" sqref="J3:L26">
      <formula1>"Si,No,Parcial"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2026-10-23T02:50:39Z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