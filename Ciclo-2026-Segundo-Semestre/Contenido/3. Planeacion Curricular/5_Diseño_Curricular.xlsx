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_2S_2026" sheetId="2" r:id="rId6"/>
    <sheet state="visible" name="Contenido Curricular" sheetId="3" r:id="rId7"/>
    <sheet state="visible" name="Semana Diagnostico" sheetId="4" r:id="rId8"/>
    <sheet state="visible" name="S. 2" sheetId="5" r:id="rId9"/>
    <sheet state="visible" name="S. 3" sheetId="6" r:id="rId10"/>
    <sheet state="visible" name="S. 4" sheetId="7" r:id="rId11"/>
    <sheet state="visible" name="S. 5" sheetId="8" r:id="rId12"/>
    <sheet state="visible" name="S. 6" sheetId="9" r:id="rId13"/>
    <sheet state="visible" name="S. 7" sheetId="10" r:id="rId14"/>
    <sheet state="visible" name="S. 8" sheetId="11" r:id="rId15"/>
    <sheet state="visible" name="S. 9" sheetId="12" r:id="rId16"/>
    <sheet state="visible" name="S. 10" sheetId="13" r:id="rId17"/>
    <sheet state="visible" name="S. 11" sheetId="14" r:id="rId18"/>
    <sheet state="visible" name="Proyectos" sheetId="15" r:id="rId19"/>
    <sheet state="visible" name="Practicas" sheetId="16" r:id="rId20"/>
    <sheet state="visible" name="Tareas" sheetId="17" r:id="rId21"/>
  </sheets>
  <definedNames/>
  <calcPr/>
</workbook>
</file>

<file path=xl/sharedStrings.xml><?xml version="1.0" encoding="utf-8"?>
<sst xmlns="http://schemas.openxmlformats.org/spreadsheetml/2006/main" count="1183" uniqueCount="299">
  <si>
    <t>Resumen de Ponderacion y Horas para realizar las actividades</t>
  </si>
  <si>
    <t>Curso</t>
  </si>
  <si>
    <t>770 - Introducción a la Programación y Computación 1</t>
  </si>
  <si>
    <t>Periodo al que aplica</t>
  </si>
  <si>
    <t>2S 2026</t>
  </si>
  <si>
    <t>Total de Puntos del Laboratorio</t>
  </si>
  <si>
    <t>Tipo de Actividad</t>
  </si>
  <si>
    <t>Ponderacion</t>
  </si>
  <si>
    <t>Horas utilizadas</t>
  </si>
  <si>
    <t>Aspectos clave que debe abordar</t>
  </si>
  <si>
    <t>Valor Maximo
Recomendado</t>
  </si>
  <si>
    <t>Actividades durante el periodo de laboratorio</t>
  </si>
  <si>
    <t>CORTO 1  Y 2 (5 pts c/u) y FINAL (10 pts)</t>
  </si>
  <si>
    <t>Proyectos</t>
  </si>
  <si>
    <t>proyecto 1 20 pts. proyecto 2 30 pts.</t>
  </si>
  <si>
    <t>Prácticas</t>
  </si>
  <si>
    <t>práctica 1 10 pts. práctica 2 15 pts.</t>
  </si>
  <si>
    <t>Tareas</t>
  </si>
  <si>
    <t>5 tareas (1 ptc. c/u)</t>
  </si>
  <si>
    <t>Total</t>
  </si>
  <si>
    <t>Validacion</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</si>
  <si>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</si>
  <si>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</si>
  <si>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Competencias que se formaran en el Segundo Semestre 2026</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</si>
  <si>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</si>
  <si>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</si>
  <si>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</si>
  <si>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</si>
  <si>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</si>
  <si>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</si>
  <si>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Segundo Semestre 2026</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</si>
  <si>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</si>
  <si>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</si>
  <si>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</si>
  <si>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</si>
  <si>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</si>
  <si>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Competencias relacionadas al perfil del egresado (General)</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</si>
  <si>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</si>
  <si>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</si>
  <si>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Se comunica correctamente en su lengua oficial y utiliza una lengua extranjera con el dominio requerido para el ejercicio de su profesión.</t>
  </si>
  <si>
    <t>Lidera y colabora proactivamente en equipos de trabajo y en comunidades profesionales para el logro de objetivos y mejoramiento de la calidad de vida.</t>
  </si>
  <si>
    <t>No</t>
  </si>
  <si>
    <t>Tipo</t>
  </si>
  <si>
    <t>Verbo en Presente</t>
  </si>
  <si>
    <t>Objeto de la acción</t>
  </si>
  <si>
    <t>[Palabras conectoreas]
Herramientas o metodología</t>
  </si>
  <si>
    <t>[Palabras conectoreas]
Condiciones específicas</t>
  </si>
  <si>
    <t>Nivel</t>
  </si>
  <si>
    <t>Analiza</t>
  </si>
  <si>
    <t>Estructuras de datos y algoritmos</t>
  </si>
  <si>
    <t>Análisis de complejidad temporal</t>
  </si>
  <si>
    <t>Optimizar rendimiento y eficiencia</t>
  </si>
  <si>
    <t>Implementa</t>
  </si>
  <si>
    <t>Sistemas de software</t>
  </si>
  <si>
    <t>Java, archivos y APIs</t>
  </si>
  <si>
    <t>Integridad y seguridad de datos</t>
  </si>
  <si>
    <t>Evalúa</t>
  </si>
  <si>
    <t>Arquitecturas de software</t>
  </si>
  <si>
    <t>Patrones de diseño y testing</t>
  </si>
  <si>
    <t>Mantenibilidad y robustez</t>
  </si>
  <si>
    <t>Diseña</t>
  </si>
  <si>
    <t>Interfaces gráficas (GUI)</t>
  </si>
  <si>
    <t>Frameworks GUI y principios UX/UI</t>
  </si>
  <si>
    <t>Usabilidad y accesibilidad</t>
  </si>
  <si>
    <t>Colabora</t>
  </si>
  <si>
    <t>Proyectos de desarrollo</t>
  </si>
  <si>
    <t>Git y metodologías ágiles</t>
  </si>
  <si>
    <t>Comunicación efectiva en equipo</t>
  </si>
  <si>
    <t>Si las competencias son las misma que el semetre anterior compartenos tu opinion de porque no se cambiaron</t>
  </si>
  <si>
    <t>https://drive.google.com/drive/folders/1szLcpzkwozPD6nD4uuaiZQ3mmDRuVKVy</t>
  </si>
  <si>
    <t>Contenido Curricular Introducción a la Programación y Computación 1 2S 2026</t>
  </si>
  <si>
    <t>Unidad</t>
  </si>
  <si>
    <t>Tema</t>
  </si>
  <si>
    <t>Subtema</t>
  </si>
  <si>
    <t>Mes</t>
  </si>
  <si>
    <t>Semana</t>
  </si>
  <si>
    <t>Competencia</t>
  </si>
  <si>
    <t>1. Fundamentos</t>
  </si>
  <si>
    <t>Lógica Algorítmica</t>
  </si>
  <si>
    <t>Algoritmos y Diagramas</t>
  </si>
  <si>
    <t>Julio</t>
  </si>
  <si>
    <t>Analiza Estructuras de datos y algoritmos Análisis de complejidad temporal Optimizar rendimiento y eficiencia</t>
  </si>
  <si>
    <t>Versionamiento</t>
  </si>
  <si>
    <t>Herramientas de versionamiento</t>
  </si>
  <si>
    <t>Agosto</t>
  </si>
  <si>
    <t>Colabora Proyectos de desarrollo Git y metodologías ágiles Comunicación efectiva en equipo</t>
  </si>
  <si>
    <t>2. Java Básico</t>
  </si>
  <si>
    <t>Sintaxis Inicial</t>
  </si>
  <si>
    <t>JDK, JVM y Operadores</t>
  </si>
  <si>
    <t>Estructuras</t>
  </si>
  <si>
    <t>Ciclos y Arreglos</t>
  </si>
  <si>
    <t>3. Avanzado</t>
  </si>
  <si>
    <t>Recursividad</t>
  </si>
  <si>
    <t>Pila de ejecución y Archivos</t>
  </si>
  <si>
    <t>Septiembre</t>
  </si>
  <si>
    <t>4. POO</t>
  </si>
  <si>
    <t>Fundamentos</t>
  </si>
  <si>
    <t>Clases, Objetos y Pilares</t>
  </si>
  <si>
    <t>5. GUI y MVC</t>
  </si>
  <si>
    <t>Arquitectura</t>
  </si>
  <si>
    <t>Swing y Modelo-Vista-Controlador</t>
  </si>
  <si>
    <t>Evalúa Arquitecturas de software Patrones de diseño y testing Mantenibilidad y robustez</t>
  </si>
  <si>
    <t>Avanzado</t>
  </si>
  <si>
    <t>Serialización e Hilos</t>
  </si>
  <si>
    <t>Octubre</t>
  </si>
  <si>
    <t>Implementa Sistemas de software Java, archivos y APIs Integridad y seguridad de datos</t>
  </si>
  <si>
    <t>5. GUI</t>
  </si>
  <si>
    <t>Interactividad</t>
  </si>
  <si>
    <t>Eventos y Layout Managers</t>
  </si>
  <si>
    <t>Diseña Interfaces gráficas (GUI) Frameworks GUI y principios UX/UI Usabilidad y accesibilidad</t>
  </si>
  <si>
    <t>6. Especializado</t>
  </si>
  <si>
    <t>Diseño y Nube</t>
  </si>
  <si>
    <t>UML y Cloud Computing</t>
  </si>
  <si>
    <t>Noviembre</t>
  </si>
  <si>
    <t>Diseño de Contenido Curricular</t>
  </si>
  <si>
    <t>Tiempo</t>
  </si>
  <si>
    <t>1. Bienvenida y Presentación</t>
  </si>
  <si>
    <t>Tiempo Aproximado</t>
  </si>
  <si>
    <t>No puedes excederte mas de 15 minutos</t>
  </si>
  <si>
    <t>Nombre y Formacion Academica</t>
  </si>
  <si>
    <t>Experiencia laboral/docente</t>
  </si>
  <si>
    <t>⬅️</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</si>
  <si>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</si>
  <si>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</si>
  <si>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Rol del auxiliar dentro del curso (funciones, actividades y apoyo a los estudiantes).</t>
  </si>
  <si>
    <t>Apoyar a los estudiantes lo más que se pueda</t>
  </si>
  <si>
    <t>Expectativas sobre la dinámica del curso</t>
  </si>
  <si>
    <t>Lo más interactiva posible</t>
  </si>
  <si>
    <t>Tiempo que emplearas</t>
  </si>
  <si>
    <t>Al menos 1 día más al designado por clase</t>
  </si>
  <si>
    <t>2. Evaluación de Conocimientos Previos</t>
  </si>
  <si>
    <t>No puedes excederte mas de 45 minutos</t>
  </si>
  <si>
    <t>Redactaras de 15 a 20 preguntas con sus respectivas respuestas, por lo que debes escoger los temas que evaluaras</t>
  </si>
  <si>
    <t>¿Qué característica esencial debe cumplir todo algoritmo para garantizar que no se ejecutará indefinidamente y siempre entregará un resultado?
Debe ser finito (tener un inicio y un final definido).
En el control de versiones con Git, ¿qué comando se utiliza para subir las confirmaciones (commits) locales hacia un repositorio remoto en la nube?
El comando git push.
¿Cuál es el propósito principal de utilizar pseudocódigo antes de empezar a programar?
Representar la lógica de resolución de un problema en un lenguaje estructurado pero cercano al humano, independiente de la sintaxis de un lenguaje de programación específico.
¿Qué componente de la arquitectura de Java es el encargado de interpretar el "bytecode" y traducirlo a instrucciones que el sistema operativo local pueda ejecutar, logrando así la independencia de plataforma?
La Máquina Virtual de Java (JVM - Java Virtual Machine).
¿Qué estructura de control repetitiva en Java evalúa su condición al final de la iteración, garantizando que el bloque de código interno se ejecute como mínimo una vez?
El ciclo do-while.
En el diseño de funciones recursivas, ¿cómo se le llama a la condición obligatoria que detiene las llamadas a sí misma y previene que la memoria colapse?
Caso base.
¿Qué estructura de datos dinámica (que funciona bajo el principio de "último en entrar, primero en salir" o LIFO) utiliza el sistema para llevar el registro y contexto de las funciones que se van llamando durante la ejecución?
La Pila de ejecución (Call Stack).
¿Qué pilar de la Programación Orientada a Objetos se encarga de restringir el acceso directo a los atributos de una clase, obligando a interactuar con ellos mediante métodos específicos (como getters y setters)?
El Encapsulamiento.
¿Cuál es la diferencia principal entre una Clase y un Objeto en la POO?
Una Clase es el molde o plantilla abstracta que define atributos y comportamientos, mientras que un Objeto es una instancia concreta creada a partir de esa clase.
¿Cuál es el propósito de realizar el proceso de "Serialización" de un objeto en Java?
Convertir el estado del objeto que está en la memoria a un flujo de bytes (byte stream) para poder guardarlo en un archivo o transmitirlo a través de una red.
¿Qué interfaz estándar de Java se debe implementar frecuentemente en una clase para definir la tarea que se ejecutará de forma asíncrona dentro de un nuevo Hilo (Thread)?
La interfaz Runnable (mediante la implementación de su método run()).
Dentro del patrón de arquitectura de software Modelo-Vista-Controlador (MVC), ¿cuál de sus componentes tiene la responsabilidad exclusiva de gestionar la lógica de negocio y el acceso a los datos?
El Modelo.
En el desarrollo de interfaces gráficas con Java Swing, ¿qué tipo de interfaz se utiliza para "escuchar" y reaccionar a las acciones del usuario, como hacer clic en un botón?
Los Listeners (como ActionListener).
¿Para qué sirven los "Layout Managers" (Administradores de diseño) al construir ventanas en Java Swing?
Sirven para organizar de forma automática y dinámica la distribución, tamaño y posición de los componentes (botones, cuadros de texto) dentro de un panel, adaptándose al tamaño de la ventana.
¿Qué tipo de diagrama UML se emplea específicamente para visualizar la estructura estática del código, mostrando las entidades del sistema, sus atributos, métodos y cómo se relacionan o heredan entre sí?
El Diagrama de Clases.</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</si>
  <si>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</si>
  <si>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</si>
  <si>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Lógica booleana, aritmética básica, algoritmos en lenguaje natural.</t>
  </si>
  <si>
    <t>3. Presentación de los Estudiantes</t>
  </si>
  <si>
    <t>No puedes excederte mas de 30 minutos</t>
  </si>
  <si>
    <t>Selección al Azar de 5 Estudiantes</t>
  </si>
  <si>
    <t>Método de selección aleatoria</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</si>
  <si>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</si>
  <si>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</si>
  <si>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Qué esperan del curso, por qué están estudiando programación, y qué tanto saben sobre esta</t>
  </si>
  <si>
    <t>4. Censo de Horarios de Calificación</t>
  </si>
  <si>
    <t>No puedes excederte mas de 5 minutos
Esta actividad quedara abierta hasta el fin de la clase. pero emplearas 5 min especificos para la actividad</t>
  </si>
  <si>
    <t>Deberas estar recordando que deben contestar el formulario asi mismo dejar el link fijado en la llamada</t>
  </si>
  <si>
    <t>Link de google forms donde este el cuestionario</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</si>
  <si>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</si>
  <si>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</si>
  <si>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Mayormente sábados o lunes</t>
  </si>
  <si>
    <t>5. Mostrar Programa del Curso</t>
  </si>
  <si>
    <t>6. Evaluación de Conocimientos del Curso Actual</t>
  </si>
  <si>
    <t>Redactaras 20 preguntas con sus respectivas respuestas</t>
  </si>
  <si>
    <t>1. ¿Qué significa JDK? 2. ¿Java es compilado o interpretado? 3. ¿Qué es un IDE? 4. Diferencia entre clase y objeto.</t>
  </si>
  <si>
    <t>7. Tarea de fortalecimiento académico</t>
  </si>
  <si>
    <t>Identificar y atender brechas formativas mediante el fortalecimiento de competencias previas necesarias para el correcto desarrollo del curso.</t>
  </si>
  <si>
    <t>Redacta una breve idea de deberia abarcar la tarea</t>
  </si>
  <si>
    <t>Investigación sobre el ecosistema Java (LTS 17, 21 y 25) y configuración del entorno de desarrollo con Visual Studio Code y Docker.</t>
  </si>
  <si>
    <t>Diseño de la Sesión de Laboratorio</t>
  </si>
  <si>
    <t>Ponderación</t>
  </si>
  <si>
    <t>Validación de Tiempo</t>
  </si>
  <si>
    <t>1. Área Actitudinal (Saber Ser)</t>
  </si>
  <si>
    <t>Tiene que estar en un rango de 3 a 5 minutos</t>
  </si>
  <si>
    <t>Nombre del Valor</t>
  </si>
  <si>
    <t>Puntualidad</t>
  </si>
  <si>
    <t>Descripcion</t>
  </si>
  <si>
    <t>respeto al tiempo propio y ajeno mediante el cumplimiento de los plazos y horarios establecidos.</t>
  </si>
  <si>
    <t>Como se relaciona con los conocimientos de la sesion y se aplicaria</t>
  </si>
  <si>
    <t>La puntualidad se relaciona estrechamente con este tema porque, al igual que un algoritmo falla si sus instrucciones no se ejecutan en el momento exacto, el cumplimiento estricto de los tiempos al diseñar y entregar estos diagramas garantiza que el flujo de trabajo no se interrumpa.</t>
  </si>
  <si>
    <t>2. Área Conocimiento (Saber)</t>
  </si>
  <si>
    <t>No puede exceder los 60 minutos</t>
  </si>
  <si>
    <t>Competencia a desarrollar</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</si>
  <si>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</si>
  <si>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</si>
  <si>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</si>
  <si>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</si>
  <si>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</si>
  <si>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</si>
  <si>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</si>
  <si>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</si>
  <si>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</si>
  <si>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</si>
  <si>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</si>
  <si>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</si>
  <si>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</si>
  <si>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</si>
  <si>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</si>
  <si>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</si>
  <si>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</si>
  <si>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</si>
  <si>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</si>
  <si>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</si>
  <si>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Ejercicio práctico</t>
  </si>
  <si>
    <t>Coloca el tiempo que usar en la actividad, un tiempo sugerido 30 minutos</t>
  </si>
  <si>
    <t>Descripcion de la Actividad</t>
  </si>
  <si>
    <t>Diseño de diagramas de flujo para lógica de cajero automático.</t>
  </si>
  <si>
    <t>Actividad 2 (Optativa puedes hacerla si lo consideras apropiado)</t>
  </si>
  <si>
    <t>Coloca el tiempo que usar en la actividad, un tiempo sugerido 20 minutos</t>
  </si>
  <si>
    <t>4. Cierre</t>
  </si>
  <si>
    <t>Tiene que estar en un rango de 10 a 15 minutos</t>
  </si>
  <si>
    <t>Asignacion de Actividades</t>
  </si>
  <si>
    <t>Resuelve alguna duda, asigna las actividades que deben realizar, dudas de proyectos, etc</t>
  </si>
  <si>
    <t>Responsabilidad</t>
  </si>
  <si>
    <t/>
  </si>
  <si>
    <t>La sesión aborda los fundamentos del control de versiones colaborativo utilizando Git, la estructuración de la lógica mediante pseudocódigo y las bases para trabajar en equipo integrando metodologías ágiles y arquitecturas de software robustas.</t>
  </si>
  <si>
    <t>El valor de la responsabilidad se relaciona directamente con estos temas porque, al interactuar en un repositorio de código compartido, cada desarrollador tiene el deber de asegurar que sus aportes no afecten el trabajo de los demás; esto se aplica en la práctica revisando y probando minuciosamente el código antes de realizar un "commit", documentando los cambios con claridad y asumiendo el compromiso de mantener la calidad e integridad del proyecto de todo el equipo.</t>
  </si>
  <si>
    <t>Configuración de primer repositorio en GitHub y comandos básicos (push/pull).</t>
  </si>
  <si>
    <t>Disciplina</t>
  </si>
  <si>
    <t>La sesión aborda los conceptos iniciales de la sintaxis de programación en Java, enfocándose en el uso de operadores y en comprender el funcionamiento de herramientas fundamentales como el JDK (Java Development Kit) y la JVM (Java Virtual Machine) para la futura implementación de sistemas de software seguros.</t>
  </si>
  <si>
    <t>El valor de la disciplina se relaciona íntimamente con estos temas porque dominar un lenguaje estructurado y estricto como Java exige constancia y gran atención al detalle; en la práctica, esto se aplicaría fomentando el seguimiento riguroso de las reglas de sintaxis, la escritura ordenada del código desde los primeros ejercicios y el hábito de revisar meticulosamente las operaciones para evitar errores de compilación.</t>
  </si>
  <si>
    <t>CORTO 1 - Programa de consola: Conversor de bases numéricas y tipos primitivos.</t>
  </si>
  <si>
    <t>Honestidad</t>
  </si>
  <si>
    <t>La sesión aborda el uso de estructuras de almacenamiento fundamentales como los arreglos (arrays) y las estructuras de control repetitivas (ciclos) en Java, los cuales son esenciales para recorrer, procesar y gestionar eficientemente colecciones de datos en el desarrollo de sistemas.</t>
  </si>
  <si>
    <t>El valor de la honestidad se relaciona directamente con la integridad en el manejo de la información; en la práctica, esto se aplicaría fomentando que el desarrollador no altere, falsifique u oculte datos dentro de un arreglo para forzar que un programa funcione, y que tenga la transparencia de reconocer y corregir errores lógicos (como desbordamientos de memoria o índices incorrectos en un ciclo) en lugar de ignorarlos, garantizando así la seguridad y fiabilidad del software.</t>
  </si>
  <si>
    <t>Desarrollo de calculadora científica con manejo de excepciones (Try-Catch).</t>
  </si>
  <si>
    <t>Perseverancia</t>
  </si>
  <si>
    <t>La sesión aborda conceptos avanzados de programación como la recursividad, el funcionamiento interno de la pila de ejecución y el manejo de archivos, enfocándose en el análisis de la complejidad algorítmica para optimizar el rendimiento y la eficiencia del software.</t>
  </si>
  <si>
    <t>El valor de la perseverancia se relaciona estrechamente con estos temas porque dominar la recursividad y depurar el flujo de datos en la pila de ejecución son retos complejos que suelen generar frustración o bloqueos iniciales; en la práctica, esto se aplicaría motivando al estudiante a no rendirse frente a errores comunes como el desbordamiento de memoria (StackOverflow), impulsándolo a rastrear pacientemente cada llamada a la función e iterar sobre su código hasta encontrar el caso base correcto y la solución más eficiente.</t>
  </si>
  <si>
    <t>Implementación de algoritmos de ordenamiento (Burbuja) en arreglos.</t>
  </si>
  <si>
    <t>Integridad</t>
  </si>
  <si>
    <t>La sesión aborda los conceptos fundamentales de la Programación Orientada a Objetos (POO), analizando la creación de clases y objetos, así como la implementación de sus pilares principales (encapsulamiento, abstracción, herencia y polimorfismo), con el objetivo de establecer bases sólidas para el diseño de arquitecturas de software robustas y mantenibles.</t>
  </si>
  <si>
    <t>El valor de la integridad se relaciona de manera directa con el pilar del encapsulamiento, cuyo propósito técnico es proteger el estado interno de los datos. En la práctica, esto se aplicaría diseñando clases que restrinjan el acceso no autorizado a sus atributos, obligando a que cualquier modificación se realice a través de métodos controlados y validados; esto refleja el compromiso del desarrollador por construir sistemas seguros donde la información se mantenga coherente, inalterada y fiel a la realidad.</t>
  </si>
  <si>
    <t>Analisis</t>
  </si>
  <si>
    <t>Modelado de un sistema de ventas utilizando Clases, Atributos y Métodos.</t>
  </si>
  <si>
    <t>Innovación</t>
  </si>
  <si>
    <t>La sesión aborda el diseño de interfaces gráficas de usuario (GUI) mediante la biblioteca Java Swing y la implementación del patrón de arquitectura Modelo-Vista-Controlador (MVC), integrando principios de usabilidad (UX/UI) para construir aplicaciones robustas, accesibles y fáciles de mantener.</t>
  </si>
  <si>
    <t>El valor de la innovación se relaciona directamente con la búsqueda constante de crear mejores experiencias para el usuario y sistemas altamente adaptables; en la práctica, esto se aplicaría motivando al estudiante a proponer diseños visuales creativos, intuitivos y modernos (la Vista), apoyándose en la arquitectura estructurada del MVC para garantizar que estas innovaciones estéticas puedan implementarse o evolucionar en el futuro sin alterar ni romper la lógica interna de los datos (el Modelo).</t>
  </si>
  <si>
    <t>Aplicación del patrón MVC para separar lógica de negocio de la GUI Swing.</t>
  </si>
  <si>
    <t>Ética</t>
  </si>
  <si>
    <t>La sesión aborda conceptos avanzados de la Programación Orientada a Objetos, enfocándose en la serialización para la persistencia o transmisión del estado de los objetos y en el manejo de hilos (threads) para la ejecución concurrente, con el fin de implementar arquitecturas de software más robustas y seguras.</t>
  </si>
  <si>
    <t>El valor de la ética se relaciona directamente con la responsabilidad profesional al procesar y transmitir información confidencial; en la práctica, esto se aplicaría asegurando que los datos sensibles no se expongan de forma indebida durante la serialización (por ejemplo, utilizando el modificador transient para ocultar contraseñas) y garantizando que el uso de hilos concurrentes esté bien sincronizado, evitando fallos intencionales o descuidos que comprometan la integridad y seguridad de los datos de los usuarios.</t>
  </si>
  <si>
    <t>CORTO 2  - Uso de Hilos para procesos concurrentes y serialización de datos persistentes.</t>
  </si>
  <si>
    <t>La sesión aborda la creación de interfaces gráficas interactivas mediante la gestión de eventos (para escuchar y responder a las acciones del usuario) y el uso de Layout Managers (para organizar y adaptar visualmente los componentes), aplicando principios de usabilidad, accesibilidad y diseño robusto.</t>
  </si>
  <si>
    <t>El valor de la responsabilidad se relaciona estrechamente con el compromiso del desarrollador por ofrecer una experiencia de usuario fluida, inclusiva y libre de errores; en la práctica, esto se aplicaría al diseñar ventanas que se adapten correctamente a diferentes tamaños y resoluciones de pantalla sin deformarse (utilizando adecuadamente los Layout Managers) y al programar respuestas controladas para cada interacción (eventos), asegurando que la aplicación no se congele ni se rompa ante clics o acciones imprevistas por parte del usuario.</t>
  </si>
  <si>
    <t>Dashboard avanzado con Layout Managers y manejo de eventos de ratón.</t>
  </si>
  <si>
    <t>Curiosidad</t>
  </si>
  <si>
    <t>Cuestionario</t>
  </si>
  <si>
    <t>EXAMEN FINAL</t>
  </si>
  <si>
    <t>La sumatoria de los puntos de los proyectos debe superar el 60% del total de la nota, no puede ser un 100%</t>
  </si>
  <si>
    <t>1. Primer Proyecto</t>
  </si>
  <si>
    <t>Horas para realizarlo</t>
  </si>
  <si>
    <t>Titulo</t>
  </si>
  <si>
    <t>Gestor de Inventarios Consola</t>
  </si>
  <si>
    <t>Qué tecnologías, lenguajes de programación, plataformas, hardware o software se utilizaran</t>
  </si>
  <si>
    <t>Java</t>
  </si>
  <si>
    <t>Descripción de lo que se realizara</t>
  </si>
  <si>
    <t xml:space="preserve">Enfoque en estructuras de control y manejo de archivos planos (.txt). </t>
  </si>
  <si>
    <t>2. Segundo Proyecto</t>
  </si>
  <si>
    <t>Sistema Académico POO</t>
  </si>
  <si>
    <t xml:space="preserve">Implementación de herencia, polimorfismo y ordenamiento de listas dinámicas. </t>
  </si>
  <si>
    <t>3. Tercer Proyecto</t>
  </si>
  <si>
    <t>Practicas</t>
  </si>
  <si>
    <t>La sumatoria de los puntos de las practicas no debe superar el 20%</t>
  </si>
  <si>
    <t>1. Primera Practica</t>
  </si>
  <si>
    <t>Obligatoria</t>
  </si>
  <si>
    <t>Búsqueda en matrices de objetos.</t>
  </si>
  <si>
    <t>Java (Consola / Core Java).</t>
  </si>
  <si>
    <t>Implementación de diferentes algoritmos de búsquedasobre matrices bidimensionales que almacenan instancias de objetos personalizados.</t>
  </si>
  <si>
    <t>2. Segunda Practica</t>
  </si>
  <si>
    <t>Reportes gráficos automáticos.</t>
  </si>
  <si>
    <t>Java (utilizando Java Swing o JavaFX).</t>
  </si>
  <si>
    <t>Desarrollo de una interfaz gráfica interactiva e intuitiva que permita al usuario procesar grandes colecciones de datos utilizando algoritmos eficientes. El sistema interpretará estos datos para renderizar visualmente reportes y estadísticas en pantalla, aplicando principios fundamentales de usabilidad (UX) y diseño de interfaces (UI).</t>
  </si>
  <si>
    <t>3. Tercera Practica</t>
  </si>
  <si>
    <t>4. Cuarta Practica</t>
  </si>
  <si>
    <t>5. Quinta Practica</t>
  </si>
  <si>
    <t>6. Sexta Practica</t>
  </si>
  <si>
    <t>7. Séptima Practica</t>
  </si>
  <si>
    <t>La sumatoria de los puntos de las tareas no debe superar el 10% de la nota</t>
  </si>
  <si>
    <t>Tarea de fortalecimiento académico</t>
  </si>
  <si>
    <t>Obligatoria, se debe dejar en la sesión de diagnóstico</t>
  </si>
  <si>
    <t>FORTALECIMIENTO</t>
  </si>
  <si>
    <t>5 TAREAS</t>
  </si>
  <si>
    <t xml:space="preserve">Investigación: Qué es Java
</t>
  </si>
  <si>
    <t>Word</t>
  </si>
  <si>
    <t>Que conocimientos base y competencias esenciales se deben reforzar que permitan al estudiante afrontar con mayor solidez los contenidos del curso que se impartirá</t>
  </si>
  <si>
    <t>Saber que es programación</t>
  </si>
  <si>
    <t>1. Primera Tarea</t>
  </si>
  <si>
    <t xml:space="preserve">Infografía: Ecosistema Java 2026.
</t>
  </si>
  <si>
    <t>Investigar sobre el ecosistema java 2026</t>
  </si>
  <si>
    <t>2. Segunda Tarea</t>
  </si>
  <si>
    <t xml:space="preserve">Ensayo: Importancia del Control de Versiones.
</t>
  </si>
  <si>
    <t>Investigar cómo versionar un proyecto y con qué herramientas</t>
  </si>
  <si>
    <t>3. Tercera Tarea</t>
  </si>
  <si>
    <t xml:space="preserve">Comparativa: Programación Estructurada vs POO.
</t>
  </si>
  <si>
    <t>Comparar ambos tipos de programación</t>
  </si>
  <si>
    <t>4. Cuarta Tarea</t>
  </si>
  <si>
    <t xml:space="preserve">Diagrama: El ciclo de vida de un Hilo.
</t>
  </si>
  <si>
    <t>LucidChart</t>
  </si>
  <si>
    <t>Realizar un digrama de flujo</t>
  </si>
  <si>
    <t>5. Quinta Tarea</t>
  </si>
  <si>
    <t xml:space="preserve">Investigación: Frameworks GUI modernos (JavaFX vs Swing).
</t>
  </si>
  <si>
    <t>Investigar cómo funcionan los mencionados Frameworks</t>
  </si>
  <si>
    <t>6. Sexta Tarea</t>
  </si>
  <si>
    <t>Resumen: Niveles de servicio en la Nube (IaaS, PaaS, SaaS).</t>
  </si>
  <si>
    <t>Investigar como funcionan dichos servicios y cómo se diferencían</t>
  </si>
  <si>
    <t>7. Séptima Tarea</t>
  </si>
  <si>
    <t xml:space="preserve">Ética: Plagio y responsabilidad del código en la era de la IA. </t>
  </si>
  <si>
    <t>Investigación en diferentes ensayos o blogs que el estudiante encuentre</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</si>
</sst>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4.0"/>
      <color rgb="FFFF6600"/>
      <name val="Calibri"/>
    </font>
    <font>
      <b/>
      <color theme="1"/>
      <name val="Arial"/>
    </font>
    <font>
      <color theme="1"/>
      <name val="Calibri"/>
    </font>
    <font/>
    <font>
      <color theme="1"/>
      <name val="Arial"/>
    </font>
    <font>
      <sz val="11.0"/>
      <color theme="1"/>
      <name val="Arial"/>
    </font>
    <font>
      <sz val="11.0"/>
      <color theme="1"/>
      <name val="Calibri"/>
    </font>
    <font>
      <color rgb="FF000000"/>
      <name val="Calibri"/>
    </font>
    <font>
      <b/>
      <color theme="1"/>
      <name val="Calibri"/>
    </font>
    <font>
      <b/>
      <sz val="10.0"/>
      <color theme="1"/>
      <name val="Calibri"/>
    </font>
    <font>
      <u/>
      <sz val="11.0"/>
      <color theme="1"/>
      <name val="Calibri"/>
    </font>
    <font>
      <b/>
      <sz val="14.0"/>
      <color theme="1"/>
      <name val="Calibri"/>
    </font>
    <font>
      <b/>
      <sz val="12.0"/>
      <color rgb="FF4472C4"/>
      <name val="Calibri"/>
    </font>
    <font>
      <b/>
      <color rgb="FFFFFFFF"/>
      <name val="Calibri"/>
    </font>
    <font>
      <sz val="9.0"/>
      <color rgb="FF808080"/>
      <name val="Calibri"/>
    </font>
    <font>
      <sz val="24.0"/>
      <color rgb="FF808080"/>
      <name val="Calibri"/>
    </font>
    <font>
      <i/>
      <sz val="9.0"/>
      <color rgb="FF808080"/>
      <name val="Calibri"/>
    </font>
    <font>
      <color rgb="FF808080"/>
      <name val="Calibri"/>
    </font>
  </fonts>
  <fills count="14">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472C4"/>
        <bgColor rgb="FF4472C4"/>
      </patternFill>
    </fill>
    <fill>
      <patternFill patternType="solid">
        <fgColor rgb="FFE2EFDA"/>
        <bgColor rgb="FFE2EFDA"/>
      </patternFill>
    </fill>
    <fill>
      <patternFill patternType="solid">
        <fgColor rgb="FFEDEDED"/>
        <bgColor rgb="FFEDEDED"/>
      </patternFill>
    </fill>
    <fill>
      <patternFill patternType="solid">
        <fgColor rgb="FFBFBFBF"/>
        <bgColor rgb="FFBFBFBF"/>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double">
        <color rgb="FF434343"/>
      </left>
      <right style="double">
        <color rgb="FF434343"/>
      </right>
      <top style="double">
        <color rgb="FF434343"/>
      </top>
      <bottom style="double">
        <color rgb="FF434343"/>
      </bottom>
    </border>
    <border>
      <left/>
      <top/>
      <bottom/>
    </border>
    <border>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shrinkToFit="0" vertical="center" wrapText="1"/>
    </xf>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1" fillId="3" fontId="5" numFmtId="0" xfId="0" applyAlignment="1" applyBorder="1" applyFill="1" applyFont="1">
      <alignment horizontal="left" shrinkToFit="0" vertical="center" wrapText="1"/>
    </xf>
    <xf borderId="1" fillId="3" fontId="5" numFmtId="0" xfId="0" applyAlignment="1" applyBorder="1" applyFill="1" applyFont="1">
      <alignment horizontal="center" vertical="center"/>
    </xf>
    <xf borderId="2" fillId="3" fontId="5" numFmtId="0" xfId="0" applyAlignment="1" applyBorder="1" applyFill="1" applyFont="1">
      <alignment horizontal="center" vertical="center"/>
    </xf>
    <xf borderId="5" fillId="2" fontId="5" numFmtId="0" xfId="0" applyAlignment="1" applyBorder="1" applyFill="1" applyFont="1">
      <alignment horizontal="center" vertical="center"/>
    </xf>
    <xf borderId="2" fillId="3" fontId="5" numFmtId="0" xfId="0" applyAlignment="1" applyBorder="1" applyFill="1" applyFont="1">
      <alignment horizontal="center" readingOrder="0" vertical="center"/>
    </xf>
    <xf borderId="6" fillId="2" fontId="2" numFmtId="0" xfId="0" applyAlignment="1" applyBorder="1" applyFill="1" applyFont="1">
      <alignment horizontal="center" shrinkToFit="0" vertical="center" wrapText="1"/>
    </xf>
    <xf borderId="6" fillId="2" fontId="2" numFmtId="0" xfId="0" applyBorder="1" applyFill="1" applyFont="1"/>
    <xf borderId="5" fillId="2" fontId="2" numFmtId="0" xfId="0" applyAlignment="1" applyBorder="1" applyFill="1" applyFont="1">
      <alignment horizontal="center" shrinkToFit="0" vertical="center" wrapText="1"/>
    </xf>
    <xf borderId="7" fillId="2" fontId="6" numFmtId="0" xfId="0" applyAlignment="1" applyBorder="1" applyFill="1" applyFont="1">
      <alignment shrinkToFit="0" vertical="top" wrapText="1"/>
    </xf>
    <xf borderId="8" fillId="0" fontId="4" numFmtId="0" xfId="0" applyBorder="1" applyFont="1"/>
    <xf borderId="0" fillId="0" fontId="7" numFmtId="0" xfId="0" applyFont="1"/>
    <xf borderId="0" fillId="0" fontId="8" numFmtId="0" xfId="0" applyFont="1"/>
    <xf borderId="0" fillId="0" fontId="1" numFmtId="0" xfId="0" applyAlignment="1" applyFont="1">
      <alignment horizontal="center" vertical="center"/>
    </xf>
    <xf borderId="1" fillId="0" fontId="9" numFmtId="0" xfId="0" applyBorder="1" applyFont="1"/>
    <xf borderId="2" fillId="0" fontId="9" numFmtId="0" xfId="0" applyBorder="1" applyFont="1"/>
    <xf borderId="1" fillId="0" fontId="7" numFmtId="0" xfId="0" applyBorder="1" applyFont="1"/>
    <xf borderId="2" fillId="0" fontId="7" numFmtId="0" xfId="0" applyBorder="1" applyFont="1"/>
    <xf borderId="2" fillId="4" fontId="10" numFmtId="0" xfId="0" applyAlignment="1" applyBorder="1" applyFill="1" applyFont="1">
      <alignment horizontal="center" shrinkToFit="0" wrapText="1"/>
    </xf>
    <xf borderId="1" fillId="0" fontId="7" numFmtId="0" xfId="0" applyAlignment="1" applyBorder="1" applyFont="1">
      <alignment horizontal="center"/>
    </xf>
    <xf borderId="2" fillId="0" fontId="7" numFmtId="0" xfId="0" applyAlignment="1" applyBorder="1" applyFont="1">
      <alignment shrinkToFit="0" vertical="top" wrapText="1"/>
    </xf>
    <xf borderId="1" fillId="5" fontId="10" numFmtId="0" xfId="0" applyAlignment="1" applyBorder="1" applyFill="1" applyFont="1">
      <alignment horizontal="center" shrinkToFit="0" vertical="center" wrapText="1"/>
    </xf>
    <xf borderId="1" fillId="6" fontId="10" numFmtId="0" xfId="0" applyAlignment="1" applyBorder="1" applyFill="1" applyFont="1">
      <alignment horizontal="center" shrinkToFit="0" vertical="center" wrapText="1"/>
    </xf>
    <xf borderId="1" fillId="7" fontId="10" numFmtId="0" xfId="0" applyAlignment="1" applyBorder="1" applyFill="1" applyFont="1">
      <alignment horizontal="center" shrinkToFit="0" vertical="center" wrapText="1"/>
    </xf>
    <xf borderId="1" fillId="8" fontId="10" numFmtId="0" xfId="0" applyAlignment="1" applyBorder="1" applyFill="1" applyFont="1">
      <alignment horizontal="center" shrinkToFit="0" vertical="center" wrapText="1"/>
    </xf>
    <xf borderId="1" fillId="9" fontId="10" numFmtId="0" xfId="0" applyAlignment="1" applyBorder="1" applyFill="1" applyFont="1">
      <alignment horizontal="center" shrinkToFit="0" vertical="center" wrapText="1"/>
    </xf>
    <xf borderId="1" fillId="10" fontId="10" numFmtId="0" xfId="0" applyAlignment="1" applyBorder="1" applyFill="1" applyFont="1">
      <alignment horizontal="center" shrinkToFit="0" vertical="center" wrapText="1"/>
    </xf>
    <xf borderId="1" fillId="0" fontId="7" numFmtId="0" xfId="0" applyAlignment="1" applyBorder="1" applyFont="1">
      <alignment shrinkToFit="0" wrapText="1"/>
    </xf>
    <xf borderId="1" fillId="6" fontId="7" numFmtId="0" xfId="0" applyAlignment="1" applyBorder="1" applyFill="1" applyFont="1">
      <alignment shrinkToFit="0" wrapText="1"/>
    </xf>
    <xf borderId="1" fillId="7" fontId="7" numFmtId="0" xfId="0" applyAlignment="1" applyBorder="1" applyFill="1" applyFont="1">
      <alignment shrinkToFit="0" wrapText="1"/>
    </xf>
    <xf borderId="1" fillId="8" fontId="7" numFmtId="0" xfId="0" applyAlignment="1" applyBorder="1" applyFill="1" applyFont="1">
      <alignment shrinkToFit="0" wrapText="1"/>
    </xf>
    <xf borderId="1" fillId="9" fontId="7" numFmtId="0" xfId="0" applyAlignment="1" applyBorder="1" applyFill="1" applyFont="1">
      <alignment shrinkToFit="0" wrapText="1"/>
    </xf>
    <xf borderId="1" fillId="10" fontId="7" numFmtId="0" xfId="0" applyAlignment="1" applyBorder="1" applyFill="1" applyFont="1">
      <alignment shrinkToFit="0" wrapText="1"/>
    </xf>
    <xf borderId="2" fillId="11" fontId="7" numFmtId="0" xfId="0" applyAlignment="1" applyBorder="1" applyFill="1" applyFont="1">
      <alignment shrinkToFit="0" vertical="top" wrapText="1"/>
    </xf>
    <xf borderId="1" fillId="6" fontId="7" numFmtId="0" xfId="0" applyBorder="1" applyFill="1" applyFont="1"/>
    <xf borderId="1" fillId="7" fontId="7" numFmtId="0" xfId="0" applyBorder="1" applyFill="1" applyFont="1"/>
    <xf borderId="1" fillId="8" fontId="7" numFmtId="0" xfId="0" applyBorder="1" applyFill="1" applyFont="1"/>
    <xf borderId="1" fillId="9" fontId="7" numFmtId="0" xfId="0" applyBorder="1" applyFill="1" applyFont="1"/>
    <xf borderId="1" fillId="10" fontId="7" numFmtId="0" xfId="0" applyBorder="1" applyFill="1" applyFont="1"/>
    <xf borderId="2" fillId="12" fontId="9" numFmtId="0" xfId="0" applyBorder="1" applyFill="1" applyFont="1"/>
    <xf borderId="9" fillId="0" fontId="7" numFmtId="0" xfId="0" applyAlignment="1" applyBorder="1" applyFont="1">
      <alignment shrinkToFit="0" vertical="top"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0" fillId="0" fontId="11" numFmtId="0" xfId="0" applyFont="1"/>
    <xf borderId="0" fillId="0" fontId="12" numFmtId="0" xfId="0" applyAlignment="1" applyFont="1">
      <alignment horizontal="center"/>
    </xf>
    <xf borderId="1" fillId="13" fontId="9" numFmtId="0" xfId="0" applyAlignment="1" applyBorder="1" applyFill="1" applyFont="1">
      <alignment horizontal="center" vertical="center"/>
    </xf>
    <xf borderId="1" fillId="0" fontId="5" numFmtId="0" xfId="0" applyAlignment="1" applyBorder="1" applyFont="1">
      <alignment vertical="bottom"/>
    </xf>
    <xf borderId="1" fillId="0" fontId="7" numFmtId="0" xfId="0" applyAlignment="1" applyBorder="1" applyFont="1">
      <alignment shrinkToFit="0" vertical="top" wrapText="1"/>
    </xf>
    <xf borderId="2" fillId="11" fontId="7" numFmtId="0" xfId="0" applyAlignment="1" applyBorder="1" applyFill="1" applyFont="1">
      <alignment horizontal="center"/>
    </xf>
    <xf borderId="2" fillId="0" fontId="7" numFmtId="0" xfId="0" applyAlignment="1" applyBorder="1" applyFont="1">
      <alignment horizontal="right"/>
    </xf>
    <xf borderId="0" fillId="0" fontId="13" numFmtId="0" xfId="0" applyFont="1"/>
    <xf borderId="0" fillId="0" fontId="13" numFmtId="0" xfId="0" applyAlignment="1" applyFont="1">
      <alignment horizontal="right" shrinkToFit="0" vertical="center" wrapText="1"/>
    </xf>
    <xf borderId="1" fillId="10" fontId="14" numFmtId="0" xfId="0" applyAlignment="1" applyBorder="1" applyFill="1" applyFont="1">
      <alignment horizontal="center" vertical="center"/>
    </xf>
    <xf borderId="0" fillId="0" fontId="15" numFmtId="0" xfId="0" applyAlignment="1" applyFont="1">
      <alignment horizontal="right" shrinkToFit="0" vertical="top" wrapText="1"/>
    </xf>
    <xf borderId="1" fillId="12" fontId="7" numFmtId="0" xfId="0" applyAlignment="1" applyBorder="1" applyFill="1" applyFont="1">
      <alignment shrinkToFit="0" vertical="top" wrapText="1"/>
    </xf>
    <xf borderId="2" fillId="3" fontId="7" numFmtId="0" xfId="0" applyAlignment="1" applyBorder="1" applyFill="1" applyFont="1">
      <alignment shrinkToFit="0" vertical="top" wrapText="1"/>
    </xf>
    <xf borderId="15" fillId="0" fontId="16" numFmtId="0" xfId="0" applyAlignment="1" applyBorder="1" applyFont="1">
      <alignment horizontal="center" vertical="center"/>
    </xf>
    <xf borderId="0" fillId="0" fontId="15" numFmtId="0" xfId="0" applyAlignment="1" applyFont="1">
      <alignment horizontal="center" shrinkToFit="0" vertical="top" wrapText="1"/>
    </xf>
    <xf borderId="16" fillId="0" fontId="4" numFmtId="0" xfId="0" applyBorder="1" applyFont="1"/>
    <xf borderId="17" fillId="0" fontId="4" numFmtId="0" xfId="0" applyBorder="1" applyFont="1"/>
    <xf borderId="0" fillId="0" fontId="17" numFmtId="0" xfId="0" applyAlignment="1" applyFont="1">
      <alignment shrinkToFit="0" vertical="top" wrapText="1"/>
    </xf>
    <xf borderId="2" fillId="0" fontId="7" numFmtId="0" xfId="0" applyAlignment="1" applyBorder="1" applyFont="1">
      <alignment horizontal="center"/>
    </xf>
    <xf borderId="0" fillId="0" fontId="13" numFmtId="0" xfId="0" applyAlignment="1" applyFont="1">
      <alignment horizontal="right"/>
    </xf>
    <xf borderId="5" fillId="10" fontId="14" numFmtId="0" xfId="0" applyAlignment="1" applyBorder="1" applyFill="1" applyFont="1">
      <alignment horizontal="right"/>
    </xf>
    <xf borderId="0" fillId="0" fontId="18" numFmtId="0" xfId="0" applyAlignment="1" applyFont="1">
      <alignment horizontal="right" shrinkToFit="0" vertical="top" wrapText="1"/>
    </xf>
    <xf borderId="1" fillId="12" fontId="7" numFmtId="0" xfId="0" applyBorder="1" applyFill="1" applyFont="1"/>
    <xf borderId="9" fillId="3" fontId="7" numFmtId="0" xfId="0" applyAlignment="1" applyBorder="1" applyFill="1" applyFont="1">
      <alignment shrinkToFit="0" vertical="top" wrapText="1"/>
    </xf>
    <xf borderId="1" fillId="12" fontId="9" numFmtId="0" xfId="0" applyAlignment="1" applyBorder="1" applyFill="1" applyFont="1">
      <alignment horizontal="center"/>
    </xf>
    <xf borderId="2" fillId="12" fontId="9" numFmtId="0" xfId="0" applyAlignment="1" applyBorder="1" applyFill="1" applyFont="1">
      <alignment horizontal="center"/>
    </xf>
    <xf borderId="1" fillId="0" fontId="7" numFmtId="0" xfId="0" applyAlignment="1" applyBorder="1" applyFont="1">
      <alignment horizontal="center" vertical="top"/>
    </xf>
    <xf borderId="2" fillId="12" fontId="13" numFmtId="0" xfId="0" applyBorder="1" applyFill="1" applyFont="1"/>
    <xf borderId="0" fillId="0" fontId="18" numFmtId="0" xfId="0" applyAlignment="1" applyFont="1">
      <alignment shrinkToFit="0" vertical="top" wrapText="1"/>
    </xf>
    <xf borderId="18" fillId="0" fontId="4" numFmtId="0" xfId="0" applyBorder="1" applyFont="1"/>
    <xf borderId="19" fillId="0" fontId="4" numFmtId="0" xfId="0" applyBorder="1" applyFont="1"/>
    <xf borderId="2" fillId="11" fontId="7" numFmtId="0" xfId="0" applyAlignment="1" applyBorder="1" applyFill="1" applyFont="1">
      <alignment horizontal="right"/>
    </xf>
    <xf borderId="0" fillId="0" fontId="13" numFmtId="0" xfId="0" applyAlignment="1" applyFont="1">
      <alignment horizontal="right" vertical="center"/>
    </xf>
    <xf borderId="0" fillId="0" fontId="17" numFmtId="0" xfId="0" applyAlignment="1" applyFont="1">
      <alignment shrinkToFit="0" wrapText="1"/>
    </xf>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szLcpzkwozPD6nD4uuaiZQ3mmDRuVKV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24.57"/>
  </cols>
  <sheetData>
    <row r="1" ht="19.5" customHeight="1"/>
    <row r="2">
      <c r="B2" s="1" t="s">
        <v>0</v>
      </c>
    </row>
    <row r="4">
      <c r="B4" s="2" t="s">
        <v>1</v>
      </c>
      <c r="C4" s="3" t="s">
        <v>2</v>
      </c>
    </row>
    <row r="5" ht="34.5" customHeight="1">
      <c r="B5" s="4" t="s">
        <v>3</v>
      </c>
      <c r="C5" s="3" t="s">
        <v>4</v>
      </c>
    </row>
    <row r="6" ht="34.5" customHeight="1">
      <c r="B6" s="4" t="s">
        <v>5</v>
      </c>
    </row>
    <row r="8" ht="72.75" customHeight="1">
      <c r="B8" s="5" t="s">
        <v>6</v>
      </c>
      <c r="C8" s="5" t="s">
        <v>7</v>
      </c>
      <c r="D8" s="5" t="s">
        <v>8</v>
      </c>
      <c r="E8" s="6" t="s">
        <v>9</v>
      </c>
      <c r="F8" s="7"/>
      <c r="G8" s="8"/>
      <c r="H8" s="5" t="s">
        <v>10</v>
      </c>
    </row>
    <row r="9" ht="39.75" customHeight="1">
      <c r="B9" s="9" t="s">
        <v>11</v>
      </c>
      <c r="C9" s="10">
        <f>'S. 2'!C7+'S. 3'!C7+'S. 4'!C7+'S. 5'!C7+'S. 6'!C7+'S. 7'!C7+'S. 8'!C7+'S. 9'!C7+'S. 10'!C7+'S. 11'!C7</f>
        <v>20</v>
      </c>
      <c r="D9" s="10">
        <f>'S. 2'!$I$1+'S. 3'!$I$1+'S. 4'!$I$1+'S. 5'!$I$1+'S. 6'!$I$1+'S. 7'!$I$1+'S. 8'!$I$1+'S. 9'!$I$1+'S. 10'!$I$1+'S. 11'!$I$1</f>
        <v>200</v>
      </c>
      <c r="E9" s="11" t="s">
        <v>12</v>
      </c>
      <c r="F9" s="7"/>
      <c r="G9" s="8"/>
      <c r="H9" s="12">
        <v>10.0</v>
      </c>
    </row>
    <row r="10" ht="30.0" customHeight="1">
      <c r="B10" s="9" t="s">
        <v>13</v>
      </c>
      <c r="C10" s="10">
        <f>Proyectos!C6</f>
        <v>50</v>
      </c>
      <c r="D10" s="10">
        <f>Proyectos!C5</f>
        <v>90</v>
      </c>
      <c r="E10" s="13" t="s">
        <v>14</v>
      </c>
      <c r="F10" s="7"/>
      <c r="G10" s="8"/>
      <c r="H10" s="12">
        <v>60.0</v>
      </c>
    </row>
    <row r="11" ht="30.0" customHeight="1">
      <c r="B11" s="9" t="s">
        <v>15</v>
      </c>
      <c r="C11" s="10">
        <f>Practicas!C6</f>
        <v>25</v>
      </c>
      <c r="D11" s="10">
        <f>Practicas!C5</f>
        <v>40</v>
      </c>
      <c r="E11" s="13" t="s">
        <v>16</v>
      </c>
      <c r="F11" s="7"/>
      <c r="G11" s="8"/>
      <c r="H11" s="12">
        <v>20.0</v>
      </c>
    </row>
    <row r="12" ht="30.0" customHeight="1">
      <c r="B12" s="9" t="s">
        <v>17</v>
      </c>
      <c r="C12" s="10">
        <f>Tareas!C6</f>
        <v>5</v>
      </c>
      <c r="D12" s="10">
        <f>Tareas!C5</f>
        <v>9</v>
      </c>
      <c r="E12" s="13" t="s">
        <v>18</v>
      </c>
      <c r="F12" s="7"/>
      <c r="G12" s="8"/>
      <c r="H12" s="12">
        <v>10.0</v>
      </c>
    </row>
    <row r="13" ht="39.75" customHeight="1">
      <c r="B13" s="14" t="s">
        <v>19</v>
      </c>
      <c r="C13" s="15">
        <f t="shared" ref="C13:D13" si="1">SUM(C9:C12)</f>
        <v>100</v>
      </c>
      <c r="D13" s="15">
        <f t="shared" si="1"/>
        <v>339</v>
      </c>
      <c r="E13" s="16" t="s">
        <v>20</v>
      </c>
      <c r="F13" s="17"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Exceden: Actividades durante el periodo de laboratorio (20&gt;10) Prácticas (25&gt;20) </v>
      </c>
      <c r="G13" s="18"/>
      <c r="H13"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s>
  <sheetData>
    <row r="1" ht="19.5" customHeight="1">
      <c r="A1" s="19"/>
      <c r="B1" s="19"/>
      <c r="C1" s="19"/>
      <c r="D1" s="19"/>
      <c r="E1" s="19"/>
      <c r="F1" s="19"/>
      <c r="G1" s="19"/>
      <c r="H1" s="19"/>
      <c r="I1" s="19"/>
      <c r="J1" s="19"/>
      <c r="K1" s="19"/>
      <c r="L1" s="19"/>
      <c r="M1" s="19"/>
      <c r="N1" s="19"/>
      <c r="O1" s="19"/>
      <c r="P1" s="20"/>
      <c r="Q1" s="3" t="s">
        <v>21</v>
      </c>
      <c r="R1" s="3" t="s">
        <v>22</v>
      </c>
    </row>
    <row r="2">
      <c r="A2" s="19"/>
      <c r="B2" s="21" t="s">
        <v>23</v>
      </c>
      <c r="I2" s="19"/>
      <c r="J2" s="19"/>
      <c r="K2" s="19"/>
      <c r="L2" s="19"/>
      <c r="M2" s="19"/>
      <c r="N2" s="19"/>
      <c r="O2" s="19"/>
      <c r="P2" s="20"/>
      <c r="Q2" s="3" t="s">
        <v>24</v>
      </c>
      <c r="R2" s="3" t="s">
        <v>25</v>
      </c>
    </row>
    <row r="3">
      <c r="A3" s="19"/>
      <c r="B3" s="19"/>
      <c r="C3" s="19"/>
      <c r="D3" s="19"/>
      <c r="E3" s="19"/>
      <c r="F3" s="19"/>
      <c r="G3" s="19"/>
      <c r="H3" s="19"/>
      <c r="I3" s="19"/>
      <c r="J3" s="19"/>
      <c r="K3" s="19"/>
      <c r="L3" s="19"/>
      <c r="M3" s="19"/>
      <c r="N3" s="19"/>
      <c r="O3" s="19"/>
      <c r="P3" s="20"/>
      <c r="Q3" s="3" t="s">
        <v>26</v>
      </c>
      <c r="R3" s="3" t="s">
        <v>27</v>
      </c>
    </row>
    <row r="4">
      <c r="A4" s="19"/>
      <c r="B4" s="22" t="s">
        <v>1</v>
      </c>
      <c r="C4" s="23" t="s">
        <v>2</v>
      </c>
      <c r="D4" s="7"/>
      <c r="E4" s="7"/>
      <c r="F4" s="7"/>
      <c r="G4" s="7"/>
      <c r="H4" s="8"/>
      <c r="I4" s="19"/>
      <c r="J4" s="19"/>
      <c r="K4" s="19"/>
      <c r="L4" s="19"/>
      <c r="M4" s="19"/>
      <c r="N4" s="19"/>
      <c r="O4" s="19"/>
      <c r="P4" s="20"/>
      <c r="Q4" s="3" t="s">
        <v>28</v>
      </c>
      <c r="R4" s="3" t="s">
        <v>29</v>
      </c>
    </row>
    <row r="5">
      <c r="A5" s="19"/>
      <c r="B5" s="24" t="s">
        <v>3</v>
      </c>
      <c r="C5" s="25" t="s">
        <v>30</v>
      </c>
      <c r="D5" s="7"/>
      <c r="E5" s="7"/>
      <c r="F5" s="7"/>
      <c r="G5" s="7"/>
      <c r="H5" s="8"/>
      <c r="I5" s="19"/>
      <c r="J5" s="19"/>
      <c r="K5" s="19"/>
      <c r="L5" s="19"/>
      <c r="M5" s="19"/>
      <c r="N5" s="19"/>
      <c r="O5" s="19"/>
      <c r="P5" s="20"/>
      <c r="Q5" s="3" t="s">
        <v>31</v>
      </c>
      <c r="R5" s="3" t="s">
        <v>32</v>
      </c>
    </row>
    <row r="6">
      <c r="A6" s="19"/>
      <c r="B6" s="19"/>
      <c r="C6" s="19"/>
      <c r="D6" s="19"/>
      <c r="E6" s="19"/>
      <c r="F6" s="19"/>
      <c r="G6" s="19"/>
      <c r="H6" s="19"/>
      <c r="I6" s="19"/>
      <c r="J6" s="19"/>
      <c r="K6" s="19"/>
      <c r="L6" s="19"/>
      <c r="M6" s="19"/>
      <c r="N6" s="19"/>
      <c r="O6" s="19"/>
      <c r="P6" s="20"/>
      <c r="Q6" s="3" t="s">
        <v>33</v>
      </c>
      <c r="R6" s="3" t="s">
        <v>34</v>
      </c>
    </row>
    <row r="7">
      <c r="A7" s="19"/>
      <c r="B7" s="26" t="s">
        <v>35</v>
      </c>
      <c r="C7" s="7"/>
      <c r="D7" s="7"/>
      <c r="E7" s="8"/>
      <c r="F7" s="26" t="s">
        <v>36</v>
      </c>
      <c r="G7" s="7"/>
      <c r="H7" s="7"/>
      <c r="I7" s="8"/>
      <c r="J7" s="19"/>
      <c r="K7" s="19"/>
      <c r="L7" s="19"/>
      <c r="M7" s="19"/>
      <c r="N7" s="19"/>
      <c r="O7" s="19"/>
      <c r="P7" s="20"/>
      <c r="Q7" s="3" t="s">
        <v>37</v>
      </c>
      <c r="R7" s="3" t="s">
        <v>38</v>
      </c>
    </row>
    <row r="8">
      <c r="A8" s="19"/>
      <c r="B8" s="27">
        <v>1.0</v>
      </c>
      <c r="C8" s="28" t="s">
        <v>24</v>
      </c>
      <c r="D8" s="7"/>
      <c r="E8" s="8"/>
      <c r="F8" s="27">
        <v>1.0</v>
      </c>
      <c r="G8" s="28" t="s">
        <v>38</v>
      </c>
      <c r="H8" s="7"/>
      <c r="I8" s="8"/>
      <c r="J8" s="19"/>
      <c r="K8" s="19"/>
      <c r="L8" s="19"/>
      <c r="M8" s="19"/>
      <c r="N8" s="19"/>
      <c r="O8" s="19"/>
      <c r="P8" s="20"/>
      <c r="Q8" s="3" t="s">
        <v>39</v>
      </c>
    </row>
    <row r="9">
      <c r="A9" s="19"/>
      <c r="B9" s="27">
        <v>2.0</v>
      </c>
      <c r="C9" s="28" t="s">
        <v>26</v>
      </c>
      <c r="D9" s="7"/>
      <c r="E9" s="8"/>
      <c r="F9" s="27">
        <v>2.0</v>
      </c>
      <c r="G9" s="28" t="s">
        <v>34</v>
      </c>
      <c r="H9" s="7"/>
      <c r="I9" s="8"/>
      <c r="J9" s="19"/>
      <c r="K9" s="19"/>
      <c r="L9" s="19"/>
      <c r="M9" s="19"/>
      <c r="N9" s="19"/>
      <c r="O9" s="19"/>
      <c r="P9" s="20"/>
      <c r="Q9" s="3" t="s">
        <v>40</v>
      </c>
    </row>
    <row r="10">
      <c r="A10" s="19"/>
      <c r="B10" s="27">
        <v>3.0</v>
      </c>
      <c r="C10" s="28" t="s">
        <v>31</v>
      </c>
      <c r="D10" s="7"/>
      <c r="E10" s="8"/>
      <c r="F10" s="27">
        <v>3.0</v>
      </c>
      <c r="G10" s="28" t="s">
        <v>29</v>
      </c>
      <c r="H10" s="7"/>
      <c r="I10" s="8"/>
      <c r="J10" s="19"/>
      <c r="K10" s="19"/>
      <c r="L10" s="19"/>
      <c r="M10" s="19"/>
      <c r="N10" s="19"/>
      <c r="O10" s="19"/>
      <c r="P10" s="20"/>
    </row>
    <row r="11">
      <c r="A11" s="19"/>
      <c r="B11" s="19"/>
      <c r="C11" s="19"/>
      <c r="D11" s="19"/>
      <c r="E11" s="19"/>
      <c r="F11" s="19"/>
      <c r="G11" s="19"/>
      <c r="H11" s="19"/>
      <c r="I11" s="19"/>
      <c r="J11" s="19"/>
      <c r="K11" s="19"/>
      <c r="L11" s="19"/>
      <c r="M11" s="19"/>
      <c r="N11" s="19"/>
      <c r="O11" s="19"/>
      <c r="P11" s="20"/>
    </row>
    <row r="12">
      <c r="A12" s="19"/>
      <c r="B12" s="29" t="s">
        <v>41</v>
      </c>
      <c r="C12" s="29" t="s">
        <v>42</v>
      </c>
      <c r="D12" s="30" t="s">
        <v>43</v>
      </c>
      <c r="E12" s="31" t="s">
        <v>44</v>
      </c>
      <c r="F12" s="32" t="s">
        <v>45</v>
      </c>
      <c r="G12" s="33" t="s">
        <v>46</v>
      </c>
      <c r="H12" s="34" t="s">
        <v>47</v>
      </c>
      <c r="I12" s="19"/>
      <c r="J12" s="19"/>
      <c r="K12" s="19"/>
      <c r="L12" s="19"/>
      <c r="M12" s="19"/>
      <c r="N12" s="19"/>
      <c r="O12" s="19"/>
      <c r="P12" s="20"/>
    </row>
    <row r="13">
      <c r="A13" s="19"/>
      <c r="B13" s="27">
        <v>1.0</v>
      </c>
      <c r="C13" s="35"/>
      <c r="D13" s="36" t="s">
        <v>48</v>
      </c>
      <c r="E13" s="37" t="s">
        <v>49</v>
      </c>
      <c r="F13" s="38" t="s">
        <v>50</v>
      </c>
      <c r="G13" s="39" t="s">
        <v>51</v>
      </c>
      <c r="H13" s="40"/>
      <c r="I13" s="19"/>
      <c r="J13" s="19"/>
      <c r="K13" s="19"/>
      <c r="L13" s="19"/>
      <c r="M13" s="19"/>
      <c r="N13" s="19"/>
      <c r="O13" s="19"/>
      <c r="P13" s="20" t="str">
        <f>IF(TRIM(C14)="", "", C14)</f>
        <v>Analiza Estructuras de datos y algoritmos Análisis de complejidad temporal Optimizar rendimiento y eficiencia</v>
      </c>
    </row>
    <row r="14">
      <c r="A14" s="19"/>
      <c r="B14" s="24"/>
      <c r="C14" s="41" t="str">
        <f>D13 &amp; " " &amp; E13 &amp; " " &amp; F13 &amp; " " &amp; G13</f>
        <v>Analiza Estructuras de datos y algoritmos Análisis de complejidad temporal Optimizar rendimiento y eficiencia</v>
      </c>
      <c r="D14" s="7"/>
      <c r="E14" s="7"/>
      <c r="F14" s="7"/>
      <c r="G14" s="7"/>
      <c r="H14" s="8"/>
      <c r="I14" s="19"/>
      <c r="J14" s="19"/>
      <c r="K14" s="19"/>
      <c r="L14" s="19"/>
      <c r="M14" s="19"/>
      <c r="N14" s="19"/>
      <c r="O14" s="19"/>
      <c r="P14" s="20"/>
    </row>
    <row r="15">
      <c r="A15" s="19"/>
      <c r="B15" s="27">
        <v>2.0</v>
      </c>
      <c r="C15" s="35"/>
      <c r="D15" s="36" t="s">
        <v>52</v>
      </c>
      <c r="E15" s="37" t="s">
        <v>53</v>
      </c>
      <c r="F15" s="38" t="s">
        <v>54</v>
      </c>
      <c r="G15" s="39" t="s">
        <v>55</v>
      </c>
      <c r="H15" s="40"/>
      <c r="I15" s="19"/>
      <c r="J15" s="19"/>
      <c r="K15" s="19"/>
      <c r="L15" s="19"/>
      <c r="M15" s="19"/>
      <c r="N15" s="19"/>
      <c r="O15" s="19"/>
      <c r="P15" s="20" t="str">
        <f>IF(TRIM(C16)="", "", C16)</f>
        <v>Implementa Sistemas de software Java, archivos y APIs Integridad y seguridad de datos</v>
      </c>
    </row>
    <row r="16">
      <c r="A16" s="19"/>
      <c r="B16" s="24"/>
      <c r="C16" s="41" t="str">
        <f>D15 &amp; " " &amp; E15 &amp; " " &amp; F15 &amp; " " &amp; G15</f>
        <v>Implementa Sistemas de software Java, archivos y APIs Integridad y seguridad de datos</v>
      </c>
      <c r="D16" s="7"/>
      <c r="E16" s="7"/>
      <c r="F16" s="7"/>
      <c r="G16" s="7"/>
      <c r="H16" s="8"/>
      <c r="I16" s="19"/>
      <c r="J16" s="19"/>
      <c r="K16" s="19"/>
      <c r="L16" s="19"/>
      <c r="M16" s="19"/>
      <c r="N16" s="19"/>
      <c r="O16" s="19"/>
      <c r="P16" s="20"/>
    </row>
    <row r="17">
      <c r="A17" s="19"/>
      <c r="B17" s="27">
        <v>3.0</v>
      </c>
      <c r="C17" s="35"/>
      <c r="D17" s="36" t="s">
        <v>56</v>
      </c>
      <c r="E17" s="37" t="s">
        <v>57</v>
      </c>
      <c r="F17" s="38" t="s">
        <v>58</v>
      </c>
      <c r="G17" s="39" t="s">
        <v>59</v>
      </c>
      <c r="H17" s="40"/>
      <c r="I17" s="19"/>
      <c r="J17" s="19"/>
      <c r="K17" s="19"/>
      <c r="L17" s="19"/>
      <c r="M17" s="19"/>
      <c r="N17" s="19"/>
      <c r="O17" s="19"/>
      <c r="P17" s="20" t="str">
        <f>IF(TRIM(C18)="", "", C18)</f>
        <v>Evalúa Arquitecturas de software Patrones de diseño y testing Mantenibilidad y robustez</v>
      </c>
    </row>
    <row r="18">
      <c r="A18" s="19"/>
      <c r="B18" s="24"/>
      <c r="C18" s="41" t="str">
        <f>D17 &amp; " " &amp; E17 &amp; " " &amp; F17 &amp; " " &amp; G17</f>
        <v>Evalúa Arquitecturas de software Patrones de diseño y testing Mantenibilidad y robustez</v>
      </c>
      <c r="D18" s="7"/>
      <c r="E18" s="7"/>
      <c r="F18" s="7"/>
      <c r="G18" s="7"/>
      <c r="H18" s="8"/>
      <c r="I18" s="19"/>
      <c r="J18" s="19"/>
      <c r="K18" s="19"/>
      <c r="L18" s="19"/>
      <c r="M18" s="19"/>
      <c r="N18" s="19"/>
      <c r="O18" s="19"/>
      <c r="P18" s="20"/>
    </row>
    <row r="19">
      <c r="A19" s="19"/>
      <c r="B19" s="27">
        <v>4.0</v>
      </c>
      <c r="C19" s="35"/>
      <c r="D19" s="36" t="s">
        <v>60</v>
      </c>
      <c r="E19" s="37" t="s">
        <v>61</v>
      </c>
      <c r="F19" s="38" t="s">
        <v>62</v>
      </c>
      <c r="G19" s="39" t="s">
        <v>63</v>
      </c>
      <c r="H19" s="40"/>
      <c r="I19" s="19"/>
      <c r="J19" s="19"/>
      <c r="K19" s="19"/>
      <c r="L19" s="19"/>
      <c r="M19" s="19"/>
      <c r="N19" s="19"/>
      <c r="O19" s="19"/>
      <c r="P19" s="20" t="str">
        <f>IF(TRIM(C20)="", "", C20)</f>
        <v>Diseña Interfaces gráficas (GUI) Frameworks GUI y principios UX/UI Usabilidad y accesibilidad</v>
      </c>
    </row>
    <row r="20">
      <c r="A20" s="19"/>
      <c r="B20" s="24"/>
      <c r="C20" s="41" t="str">
        <f>D19 &amp; " " &amp; E19 &amp; " " &amp; F19 &amp; " " &amp; G19</f>
        <v>Diseña Interfaces gráficas (GUI) Frameworks GUI y principios UX/UI Usabilidad y accesibilidad</v>
      </c>
      <c r="D20" s="7"/>
      <c r="E20" s="7"/>
      <c r="F20" s="7"/>
      <c r="G20" s="7"/>
      <c r="H20" s="8"/>
      <c r="I20" s="19"/>
      <c r="J20" s="19"/>
      <c r="K20" s="19"/>
      <c r="L20" s="19"/>
      <c r="M20" s="19"/>
      <c r="N20" s="19"/>
      <c r="O20" s="19"/>
      <c r="P20" s="20"/>
    </row>
    <row r="21" ht="15.75" customHeight="1">
      <c r="A21" s="19"/>
      <c r="B21" s="27">
        <v>5.0</v>
      </c>
      <c r="C21" s="35"/>
      <c r="D21" s="36" t="s">
        <v>64</v>
      </c>
      <c r="E21" s="37" t="s">
        <v>65</v>
      </c>
      <c r="F21" s="38" t="s">
        <v>66</v>
      </c>
      <c r="G21" s="39" t="s">
        <v>67</v>
      </c>
      <c r="H21" s="40"/>
      <c r="I21" s="19"/>
      <c r="J21" s="19"/>
      <c r="K21" s="19"/>
      <c r="L21" s="19"/>
      <c r="M21" s="19"/>
      <c r="N21" s="19"/>
      <c r="O21" s="19"/>
      <c r="P21" s="20" t="str">
        <f>IF(TRIM(C22)="", "", C22)</f>
        <v>Colabora Proyectos de desarrollo Git y metodologías ágiles Comunicación efectiva en equipo</v>
      </c>
    </row>
    <row r="22" ht="15.75" customHeight="1">
      <c r="A22" s="19"/>
      <c r="B22" s="24"/>
      <c r="C22" s="41" t="str">
        <f>D21 &amp; " " &amp; E21 &amp; " " &amp; F21 &amp; " " &amp; G21</f>
        <v>Colabora Proyectos de desarrollo Git y metodologías ágiles Comunicación efectiva en equipo</v>
      </c>
      <c r="D22" s="7"/>
      <c r="E22" s="7"/>
      <c r="F22" s="7"/>
      <c r="G22" s="7"/>
      <c r="H22" s="8"/>
      <c r="I22" s="19"/>
      <c r="J22" s="19"/>
      <c r="K22" s="19"/>
      <c r="L22" s="19"/>
      <c r="M22" s="19"/>
      <c r="N22" s="19"/>
      <c r="O22" s="19"/>
      <c r="P22" s="20"/>
    </row>
    <row r="23" ht="15.75" customHeight="1">
      <c r="A23" s="19"/>
      <c r="B23" s="27">
        <v>6.0</v>
      </c>
      <c r="C23" s="35"/>
      <c r="D23" s="36"/>
      <c r="E23" s="37"/>
      <c r="F23" s="38"/>
      <c r="G23" s="39"/>
      <c r="H23" s="40"/>
      <c r="I23" s="19"/>
      <c r="J23" s="19"/>
      <c r="K23" s="19"/>
      <c r="L23" s="19"/>
      <c r="M23" s="19"/>
      <c r="N23" s="19"/>
      <c r="O23" s="19"/>
      <c r="P23" s="20" t="str">
        <f>IF(TRIM(C24)="", "", C24)</f>
        <v/>
      </c>
    </row>
    <row r="24" ht="15.75" customHeight="1">
      <c r="A24" s="19"/>
      <c r="B24" s="24"/>
      <c r="C24" s="41" t="str">
        <f>D23 &amp; " " &amp; E23 &amp; " " &amp; F23 &amp; " " &amp; G23</f>
        <v>   </v>
      </c>
      <c r="D24" s="7"/>
      <c r="E24" s="7"/>
      <c r="F24" s="7"/>
      <c r="G24" s="7"/>
      <c r="H24" s="8"/>
      <c r="I24" s="19"/>
      <c r="J24" s="19"/>
      <c r="K24" s="19"/>
      <c r="L24" s="19"/>
      <c r="M24" s="19"/>
      <c r="N24" s="19"/>
      <c r="O24" s="19"/>
      <c r="P24" s="20"/>
    </row>
    <row r="25" ht="15.75" customHeight="1">
      <c r="A25" s="19"/>
      <c r="B25" s="27">
        <v>7.0</v>
      </c>
      <c r="C25" s="24"/>
      <c r="D25" s="42"/>
      <c r="E25" s="43"/>
      <c r="F25" s="44"/>
      <c r="G25" s="45"/>
      <c r="H25" s="46"/>
      <c r="I25" s="19"/>
      <c r="J25" s="19"/>
      <c r="K25" s="19"/>
      <c r="L25" s="19"/>
      <c r="M25" s="19"/>
      <c r="N25" s="19"/>
      <c r="O25" s="19"/>
      <c r="P25" s="20" t="str">
        <f>IF(TRIM(C26)="", "", C26)</f>
        <v/>
      </c>
    </row>
    <row r="26" ht="15.75" customHeight="1">
      <c r="A26" s="19"/>
      <c r="B26" s="24"/>
      <c r="C26" s="41" t="str">
        <f>D25 &amp; " " &amp; E25 &amp; " " &amp; F25 &amp; " " &amp; G25</f>
        <v>   </v>
      </c>
      <c r="D26" s="7"/>
      <c r="E26" s="7"/>
      <c r="F26" s="7"/>
      <c r="G26" s="7"/>
      <c r="H26" s="8"/>
      <c r="I26" s="19"/>
      <c r="J26" s="19"/>
      <c r="K26" s="19"/>
      <c r="L26" s="19"/>
      <c r="M26" s="19"/>
      <c r="N26" s="19"/>
      <c r="O26" s="19"/>
      <c r="P26" s="20"/>
    </row>
    <row r="27" ht="15.75" customHeight="1">
      <c r="A27" s="19"/>
      <c r="B27" s="27">
        <v>8.0</v>
      </c>
      <c r="C27" s="24"/>
      <c r="D27" s="42"/>
      <c r="E27" s="43"/>
      <c r="F27" s="44"/>
      <c r="G27" s="45"/>
      <c r="H27" s="46"/>
      <c r="I27" s="19"/>
      <c r="J27" s="19"/>
      <c r="K27" s="19"/>
      <c r="L27" s="19"/>
      <c r="M27" s="19"/>
      <c r="N27" s="19"/>
      <c r="O27" s="19"/>
      <c r="P27" s="20" t="str">
        <f>IF(TRIM(C28)="", "", C28)</f>
        <v/>
      </c>
    </row>
    <row r="28" ht="15.75" customHeight="1">
      <c r="A28" s="19"/>
      <c r="B28" s="24"/>
      <c r="C28" s="41" t="str">
        <f>D27 &amp; " " &amp; E27 &amp; " " &amp; F27 &amp; " " &amp; G27</f>
        <v>   </v>
      </c>
      <c r="D28" s="7"/>
      <c r="E28" s="7"/>
      <c r="F28" s="7"/>
      <c r="G28" s="7"/>
      <c r="H28" s="8"/>
      <c r="I28" s="19"/>
      <c r="J28" s="19"/>
      <c r="K28" s="19"/>
      <c r="L28" s="19"/>
      <c r="M28" s="19"/>
      <c r="N28" s="19"/>
      <c r="O28" s="19"/>
      <c r="P28" s="20"/>
    </row>
    <row r="29" ht="15.75" customHeight="1">
      <c r="A29" s="19"/>
      <c r="B29" s="19"/>
      <c r="C29" s="19"/>
      <c r="D29" s="19"/>
      <c r="E29" s="19"/>
      <c r="F29" s="19"/>
      <c r="G29" s="19"/>
      <c r="H29" s="19"/>
      <c r="I29" s="19"/>
      <c r="J29" s="19"/>
      <c r="K29" s="19"/>
      <c r="L29" s="19"/>
      <c r="M29" s="19"/>
      <c r="N29" s="19"/>
      <c r="O29" s="19"/>
      <c r="P29" s="20"/>
    </row>
    <row r="30" ht="15.75" customHeight="1">
      <c r="A30" s="19"/>
      <c r="B30" s="19"/>
      <c r="C30" s="19"/>
      <c r="D30" s="19"/>
      <c r="E30" s="19"/>
      <c r="F30" s="19"/>
      <c r="G30" s="19"/>
      <c r="H30" s="19"/>
      <c r="I30" s="19"/>
      <c r="J30" s="19"/>
      <c r="K30" s="19"/>
      <c r="L30" s="19"/>
      <c r="M30" s="19"/>
      <c r="N30" s="19"/>
      <c r="O30" s="19"/>
      <c r="P30" s="20"/>
    </row>
    <row r="31" ht="15.75" customHeight="1">
      <c r="A31" s="19"/>
      <c r="B31" s="47" t="s">
        <v>68</v>
      </c>
      <c r="C31" s="7"/>
      <c r="D31" s="7"/>
      <c r="E31" s="7"/>
      <c r="F31" s="7"/>
      <c r="G31" s="7"/>
      <c r="H31" s="8"/>
      <c r="I31" s="19"/>
      <c r="J31" s="19"/>
      <c r="K31" s="19"/>
      <c r="L31" s="19"/>
      <c r="M31" s="19"/>
      <c r="N31" s="19"/>
      <c r="O31" s="19"/>
      <c r="P31" s="20"/>
    </row>
    <row r="32" ht="39.75" customHeight="1">
      <c r="A32" s="19"/>
      <c r="B32" s="48"/>
      <c r="C32" s="49"/>
      <c r="D32" s="49"/>
      <c r="E32" s="49"/>
      <c r="F32" s="49"/>
      <c r="G32" s="49"/>
      <c r="H32" s="50"/>
      <c r="I32" s="19"/>
      <c r="J32" s="19"/>
      <c r="K32" s="19"/>
      <c r="L32" s="19"/>
      <c r="M32" s="19"/>
      <c r="N32" s="19"/>
      <c r="O32" s="19"/>
      <c r="P32" s="20"/>
    </row>
    <row r="33" ht="15.75" customHeight="1">
      <c r="A33" s="19"/>
      <c r="B33" s="51"/>
      <c r="C33" s="52"/>
      <c r="D33" s="52"/>
      <c r="E33" s="52"/>
      <c r="F33" s="52"/>
      <c r="G33" s="52"/>
      <c r="H33" s="53"/>
      <c r="I33" s="19"/>
      <c r="J33" s="19"/>
      <c r="K33" s="19"/>
      <c r="L33" s="19"/>
      <c r="M33" s="19"/>
      <c r="N33" s="19"/>
      <c r="O33" s="19"/>
      <c r="P33" s="20"/>
    </row>
    <row r="34" ht="15.75" customHeight="1">
      <c r="A34" s="19"/>
      <c r="B34" s="54" t="s">
        <v>69</v>
      </c>
      <c r="C34" s="19"/>
      <c r="D34" s="19"/>
      <c r="E34" s="19"/>
      <c r="F34" s="19"/>
      <c r="G34" s="19"/>
      <c r="H34" s="19"/>
      <c r="I34" s="19"/>
      <c r="J34" s="19"/>
      <c r="K34" s="19"/>
      <c r="L34" s="19"/>
      <c r="M34" s="19"/>
      <c r="N34" s="19"/>
      <c r="O34" s="19"/>
      <c r="P34" s="20"/>
    </row>
    <row r="35" ht="15.75" customHeight="1">
      <c r="A35" s="19"/>
      <c r="B35" s="19"/>
      <c r="C35" s="19"/>
      <c r="D35" s="19"/>
      <c r="E35" s="19"/>
      <c r="F35" s="19"/>
      <c r="G35" s="19"/>
      <c r="H35" s="19"/>
      <c r="I35" s="19"/>
      <c r="J35" s="19"/>
      <c r="K35" s="19"/>
      <c r="L35" s="19"/>
      <c r="M35" s="19"/>
      <c r="N35" s="19"/>
      <c r="O35" s="19"/>
      <c r="P35" s="20"/>
    </row>
    <row r="36" ht="39.75" customHeight="1">
      <c r="A36" s="19"/>
      <c r="B36" s="19"/>
      <c r="C36" s="19"/>
      <c r="D36" s="19"/>
      <c r="E36" s="19"/>
      <c r="F36" s="19"/>
      <c r="G36" s="19"/>
      <c r="H36" s="19"/>
      <c r="I36" s="19"/>
      <c r="J36" s="19"/>
      <c r="K36" s="19"/>
      <c r="L36" s="19"/>
      <c r="M36" s="19"/>
      <c r="N36" s="19"/>
      <c r="O36" s="19"/>
      <c r="P36" s="20"/>
    </row>
    <row r="37" ht="39.75" customHeight="1">
      <c r="A37" s="19"/>
      <c r="B37" s="19"/>
      <c r="C37" s="19"/>
      <c r="D37" s="19"/>
      <c r="E37" s="19"/>
      <c r="F37" s="19"/>
      <c r="G37" s="19"/>
      <c r="H37" s="19"/>
      <c r="I37" s="19"/>
      <c r="J37" s="19"/>
      <c r="K37" s="19"/>
      <c r="L37" s="19"/>
      <c r="M37" s="19"/>
      <c r="N37" s="19"/>
      <c r="O37" s="19"/>
      <c r="P37" s="20"/>
    </row>
    <row r="38" ht="39.75" customHeight="1">
      <c r="A38" s="19"/>
      <c r="B38" s="19"/>
      <c r="C38" s="19"/>
      <c r="D38" s="19"/>
      <c r="E38" s="19"/>
      <c r="F38" s="19"/>
      <c r="G38" s="19"/>
      <c r="H38" s="19"/>
      <c r="I38" s="19"/>
      <c r="J38" s="19"/>
      <c r="K38" s="19"/>
      <c r="L38" s="19"/>
      <c r="M38" s="19"/>
      <c r="N38" s="19"/>
      <c r="O38" s="19"/>
      <c r="P38" s="20"/>
    </row>
    <row r="39" ht="39.75" customHeight="1">
      <c r="A39" s="19"/>
      <c r="B39" s="19"/>
      <c r="C39" s="19"/>
      <c r="D39" s="19"/>
      <c r="E39" s="19"/>
      <c r="F39" s="19"/>
      <c r="G39" s="19"/>
      <c r="H39" s="19"/>
      <c r="I39" s="19"/>
      <c r="J39" s="19"/>
      <c r="K39" s="19"/>
      <c r="L39" s="19"/>
      <c r="M39" s="19"/>
      <c r="N39" s="19"/>
      <c r="O39" s="19"/>
      <c r="P39" s="20"/>
    </row>
    <row r="40" ht="39.75" customHeight="1">
      <c r="A40" s="19"/>
      <c r="B40" s="19"/>
      <c r="C40" s="19"/>
      <c r="D40" s="19"/>
      <c r="E40" s="19"/>
      <c r="F40" s="19"/>
      <c r="G40" s="19"/>
      <c r="H40" s="19"/>
      <c r="I40" s="19"/>
      <c r="J40" s="19"/>
      <c r="K40" s="19"/>
      <c r="L40" s="19"/>
      <c r="M40" s="19"/>
      <c r="N40" s="19"/>
      <c r="O40" s="19"/>
      <c r="P40" s="20"/>
    </row>
    <row r="41" ht="39.75" customHeight="1">
      <c r="A41" s="19"/>
      <c r="B41" s="19"/>
      <c r="C41" s="19"/>
      <c r="D41" s="19"/>
      <c r="E41" s="19"/>
      <c r="F41" s="19"/>
      <c r="G41" s="19"/>
      <c r="H41" s="19"/>
      <c r="I41" s="19"/>
      <c r="J41" s="19"/>
      <c r="K41" s="19"/>
      <c r="L41" s="19"/>
      <c r="M41" s="19"/>
      <c r="N41" s="19"/>
      <c r="O41" s="19"/>
      <c r="P41" s="20"/>
    </row>
    <row r="42" ht="39.75" customHeight="1">
      <c r="A42" s="19"/>
      <c r="B42" s="19"/>
      <c r="C42" s="19"/>
      <c r="D42" s="19"/>
      <c r="E42" s="19"/>
      <c r="F42" s="19"/>
      <c r="G42" s="19"/>
      <c r="H42" s="19"/>
      <c r="I42" s="19"/>
      <c r="J42" s="19"/>
      <c r="K42" s="19"/>
      <c r="L42" s="19"/>
      <c r="M42" s="19"/>
      <c r="N42" s="19"/>
      <c r="O42" s="19"/>
      <c r="P42" s="20"/>
    </row>
    <row r="43" ht="39.75" customHeight="1">
      <c r="A43" s="19"/>
      <c r="B43" s="19"/>
      <c r="C43" s="19"/>
      <c r="D43" s="19"/>
      <c r="E43" s="19"/>
      <c r="F43" s="19"/>
      <c r="G43" s="19"/>
      <c r="H43" s="19"/>
      <c r="I43" s="19"/>
      <c r="J43" s="19"/>
      <c r="K43" s="19"/>
      <c r="L43" s="19"/>
      <c r="M43" s="19"/>
      <c r="N43" s="19"/>
      <c r="O43" s="19"/>
      <c r="P43" s="20"/>
    </row>
    <row r="44" ht="39.75" customHeight="1">
      <c r="A44" s="19"/>
      <c r="B44" s="19"/>
      <c r="C44" s="19"/>
      <c r="D44" s="19"/>
      <c r="E44" s="19"/>
      <c r="F44" s="19"/>
      <c r="G44" s="19"/>
      <c r="H44" s="19"/>
      <c r="I44" s="19"/>
      <c r="J44" s="19"/>
      <c r="K44" s="19"/>
      <c r="L44" s="19"/>
      <c r="M44" s="19"/>
      <c r="N44" s="19"/>
      <c r="O44" s="19"/>
      <c r="P44" s="20"/>
    </row>
    <row r="45" ht="39.75" customHeight="1">
      <c r="A45" s="19"/>
      <c r="B45" s="19"/>
      <c r="C45" s="19"/>
      <c r="D45" s="19"/>
      <c r="E45" s="19"/>
      <c r="F45" s="19"/>
      <c r="G45" s="19"/>
      <c r="H45" s="19"/>
      <c r="I45" s="19"/>
      <c r="J45" s="19"/>
      <c r="K45" s="19"/>
      <c r="L45" s="19"/>
      <c r="M45" s="19"/>
      <c r="N45" s="19"/>
      <c r="O45" s="19"/>
      <c r="P45" s="20"/>
    </row>
    <row r="46" ht="39.75" customHeight="1">
      <c r="A46" s="19"/>
      <c r="B46" s="19"/>
      <c r="C46" s="19"/>
      <c r="D46" s="19"/>
      <c r="E46" s="19"/>
      <c r="F46" s="19"/>
      <c r="G46" s="19"/>
      <c r="H46" s="19"/>
      <c r="I46" s="19"/>
      <c r="J46" s="19"/>
      <c r="K46" s="19"/>
      <c r="L46" s="19"/>
      <c r="M46" s="19"/>
      <c r="N46" s="19"/>
      <c r="O46" s="19"/>
      <c r="P46" s="20"/>
    </row>
    <row r="47" ht="39.75" customHeight="1">
      <c r="A47" s="19"/>
      <c r="B47" s="19"/>
      <c r="C47" s="19"/>
      <c r="D47" s="19"/>
      <c r="E47" s="19"/>
      <c r="F47" s="19"/>
      <c r="G47" s="19"/>
      <c r="H47" s="19"/>
      <c r="I47" s="19"/>
      <c r="J47" s="19"/>
      <c r="K47" s="19"/>
      <c r="L47" s="19"/>
      <c r="M47" s="19"/>
      <c r="N47" s="19"/>
      <c r="O47" s="19"/>
      <c r="P47" s="20"/>
    </row>
    <row r="48" ht="39.75" customHeight="1">
      <c r="A48" s="19"/>
      <c r="B48" s="19"/>
      <c r="C48" s="19"/>
      <c r="D48" s="19"/>
      <c r="E48" s="19"/>
      <c r="F48" s="19"/>
      <c r="G48" s="19"/>
      <c r="H48" s="19"/>
      <c r="I48" s="19"/>
      <c r="J48" s="19"/>
      <c r="K48" s="19"/>
      <c r="L48" s="19"/>
      <c r="M48" s="19"/>
      <c r="N48" s="19"/>
      <c r="O48" s="19"/>
      <c r="P48" s="20"/>
    </row>
    <row r="49" ht="39.75" customHeight="1">
      <c r="A49" s="19"/>
      <c r="B49" s="19"/>
      <c r="C49" s="19"/>
      <c r="D49" s="19"/>
      <c r="E49" s="19"/>
      <c r="F49" s="19"/>
      <c r="G49" s="19"/>
      <c r="H49" s="19"/>
      <c r="I49" s="19"/>
      <c r="J49" s="19"/>
      <c r="K49" s="19"/>
      <c r="L49" s="19"/>
      <c r="M49" s="19"/>
      <c r="N49" s="19"/>
      <c r="O49" s="19"/>
      <c r="P49" s="20"/>
    </row>
    <row r="50" ht="39.75" customHeight="1">
      <c r="A50" s="19"/>
      <c r="B50" s="19"/>
      <c r="C50" s="19"/>
      <c r="D50" s="19"/>
      <c r="E50" s="19"/>
      <c r="F50" s="19"/>
      <c r="G50" s="19"/>
      <c r="H50" s="19"/>
      <c r="I50" s="19"/>
      <c r="J50" s="19"/>
      <c r="K50" s="19"/>
      <c r="L50" s="19"/>
      <c r="M50" s="19"/>
      <c r="N50" s="19"/>
      <c r="O50" s="19"/>
      <c r="P50" s="20"/>
    </row>
    <row r="51" ht="39.75" customHeight="1">
      <c r="A51" s="19"/>
      <c r="B51" s="19"/>
      <c r="C51" s="19"/>
      <c r="D51" s="19"/>
      <c r="E51" s="19"/>
      <c r="F51" s="19"/>
      <c r="G51" s="19"/>
      <c r="H51" s="19"/>
      <c r="I51" s="19"/>
      <c r="J51" s="19"/>
      <c r="K51" s="19"/>
      <c r="L51" s="19"/>
      <c r="M51" s="19"/>
      <c r="N51" s="19"/>
      <c r="O51" s="19"/>
      <c r="P51" s="20"/>
    </row>
    <row r="52" ht="39.75" customHeight="1">
      <c r="A52" s="19"/>
      <c r="B52" s="19"/>
      <c r="C52" s="19"/>
      <c r="D52" s="19"/>
      <c r="E52" s="19"/>
      <c r="F52" s="19"/>
      <c r="G52" s="19"/>
      <c r="H52" s="19"/>
      <c r="I52" s="19"/>
      <c r="J52" s="19"/>
      <c r="K52" s="19"/>
      <c r="L52" s="19"/>
      <c r="M52" s="19"/>
      <c r="N52" s="19"/>
      <c r="O52" s="19"/>
      <c r="P52" s="20"/>
    </row>
    <row r="53" ht="39.75" customHeight="1">
      <c r="A53" s="19"/>
      <c r="B53" s="19"/>
      <c r="C53" s="19"/>
      <c r="D53" s="19"/>
      <c r="E53" s="19"/>
      <c r="F53" s="19"/>
      <c r="G53" s="19"/>
      <c r="H53" s="19"/>
      <c r="I53" s="19"/>
      <c r="J53" s="19"/>
      <c r="K53" s="19"/>
      <c r="L53" s="19"/>
      <c r="M53" s="19"/>
      <c r="N53" s="19"/>
      <c r="O53" s="19"/>
      <c r="P53" s="20"/>
    </row>
    <row r="54" ht="39.75" customHeight="1">
      <c r="A54" s="19"/>
      <c r="B54" s="19"/>
      <c r="C54" s="19"/>
      <c r="D54" s="19"/>
      <c r="E54" s="19"/>
      <c r="F54" s="19"/>
      <c r="G54" s="19"/>
      <c r="H54" s="19"/>
      <c r="I54" s="19"/>
      <c r="J54" s="19"/>
      <c r="K54" s="19"/>
      <c r="L54" s="19"/>
      <c r="M54" s="19"/>
      <c r="N54" s="19"/>
      <c r="O54" s="19"/>
      <c r="P54" s="20"/>
    </row>
    <row r="55" ht="39.75" customHeight="1">
      <c r="A55" s="19"/>
      <c r="B55" s="19"/>
      <c r="C55" s="19"/>
      <c r="D55" s="19"/>
      <c r="E55" s="19"/>
      <c r="F55" s="19"/>
      <c r="G55" s="19"/>
      <c r="H55" s="19"/>
      <c r="I55" s="19"/>
      <c r="J55" s="19"/>
      <c r="K55" s="19"/>
      <c r="L55" s="19"/>
      <c r="M55" s="19"/>
      <c r="N55" s="19"/>
      <c r="O55" s="19"/>
      <c r="P55" s="20"/>
    </row>
    <row r="56" ht="15.75" customHeight="1">
      <c r="A56" s="19"/>
      <c r="B56" s="19"/>
      <c r="C56" s="19"/>
      <c r="D56" s="19"/>
      <c r="E56" s="19"/>
      <c r="F56" s="19"/>
      <c r="G56" s="19"/>
      <c r="H56" s="19"/>
      <c r="I56" s="19"/>
      <c r="J56" s="19"/>
      <c r="K56" s="19"/>
      <c r="L56" s="19"/>
      <c r="M56" s="19"/>
      <c r="N56" s="19"/>
      <c r="O56" s="19"/>
      <c r="P56" s="20"/>
    </row>
    <row r="57" ht="15.75" customHeight="1">
      <c r="A57" s="19"/>
      <c r="B57" s="19"/>
      <c r="C57" s="19"/>
      <c r="D57" s="19"/>
      <c r="E57" s="19"/>
      <c r="F57" s="19"/>
      <c r="G57" s="19"/>
      <c r="H57" s="19"/>
      <c r="I57" s="19"/>
      <c r="J57" s="19"/>
      <c r="K57" s="19"/>
      <c r="L57" s="19"/>
      <c r="M57" s="19"/>
      <c r="N57" s="19"/>
      <c r="O57" s="19"/>
      <c r="P57" s="20"/>
    </row>
    <row r="58" ht="15.75" customHeight="1">
      <c r="A58" s="19"/>
      <c r="B58" s="19"/>
      <c r="C58" s="19"/>
      <c r="D58" s="19"/>
      <c r="E58" s="19"/>
      <c r="F58" s="19"/>
      <c r="G58" s="19"/>
      <c r="H58" s="19"/>
      <c r="I58" s="19"/>
      <c r="J58" s="19"/>
      <c r="K58" s="19"/>
      <c r="L58" s="19"/>
      <c r="M58" s="19"/>
      <c r="N58" s="19"/>
      <c r="O58" s="19"/>
      <c r="P58" s="20"/>
    </row>
    <row r="59" ht="15.75" customHeight="1">
      <c r="A59" s="19"/>
      <c r="B59" s="19"/>
      <c r="C59" s="19"/>
      <c r="D59" s="19"/>
      <c r="E59" s="19"/>
      <c r="F59" s="19"/>
      <c r="G59" s="19"/>
      <c r="H59" s="19"/>
      <c r="I59" s="19"/>
      <c r="J59" s="19"/>
      <c r="K59" s="19"/>
      <c r="L59" s="19"/>
      <c r="M59" s="19"/>
      <c r="N59" s="19"/>
      <c r="O59" s="19"/>
      <c r="P59" s="20"/>
    </row>
    <row r="60" ht="15.75" customHeight="1">
      <c r="A60" s="19"/>
      <c r="B60" s="19"/>
      <c r="C60" s="19"/>
      <c r="D60" s="19"/>
      <c r="E60" s="19"/>
      <c r="F60" s="19"/>
      <c r="G60" s="19"/>
      <c r="H60" s="19"/>
      <c r="I60" s="19"/>
      <c r="J60" s="19"/>
      <c r="K60" s="19"/>
      <c r="L60" s="19"/>
      <c r="M60" s="19"/>
      <c r="N60" s="19"/>
      <c r="O60" s="19"/>
      <c r="P60" s="20"/>
    </row>
    <row r="61" ht="15.75" customHeight="1">
      <c r="A61" s="19"/>
      <c r="B61" s="19"/>
      <c r="C61" s="19"/>
      <c r="D61" s="19"/>
      <c r="E61" s="19"/>
      <c r="F61" s="19"/>
      <c r="G61" s="19"/>
      <c r="H61" s="19"/>
      <c r="I61" s="19"/>
      <c r="J61" s="19"/>
      <c r="K61" s="19"/>
      <c r="L61" s="19"/>
      <c r="M61" s="19"/>
      <c r="N61" s="19"/>
      <c r="O61" s="19"/>
      <c r="P61" s="20"/>
    </row>
    <row r="62" ht="15.75" customHeight="1">
      <c r="A62" s="19"/>
      <c r="B62" s="19"/>
      <c r="C62" s="19"/>
      <c r="D62" s="19"/>
      <c r="E62" s="19"/>
      <c r="F62" s="19"/>
      <c r="G62" s="19"/>
      <c r="H62" s="19"/>
      <c r="I62" s="19"/>
      <c r="J62" s="19"/>
      <c r="K62" s="19"/>
      <c r="L62" s="19"/>
      <c r="M62" s="19"/>
      <c r="N62" s="19"/>
      <c r="O62" s="19"/>
      <c r="P62" s="20"/>
    </row>
    <row r="63" ht="15.75" customHeight="1">
      <c r="A63" s="19"/>
      <c r="B63" s="19"/>
      <c r="C63" s="19"/>
      <c r="D63" s="19"/>
      <c r="E63" s="19"/>
      <c r="F63" s="19"/>
      <c r="G63" s="19"/>
      <c r="H63" s="19"/>
      <c r="I63" s="19"/>
      <c r="J63" s="19"/>
      <c r="K63" s="19"/>
      <c r="L63" s="19"/>
      <c r="M63" s="19"/>
      <c r="N63" s="19"/>
      <c r="O63" s="19"/>
      <c r="P63" s="20"/>
    </row>
    <row r="64" ht="15.75" customHeight="1">
      <c r="A64" s="19"/>
      <c r="B64" s="19"/>
      <c r="C64" s="19"/>
      <c r="D64" s="19"/>
      <c r="E64" s="19"/>
      <c r="F64" s="19"/>
      <c r="G64" s="19"/>
      <c r="H64" s="19"/>
      <c r="I64" s="19"/>
      <c r="J64" s="19"/>
      <c r="K64" s="19"/>
      <c r="L64" s="19"/>
      <c r="M64" s="19"/>
      <c r="N64" s="19"/>
      <c r="O64" s="19"/>
      <c r="P64" s="20"/>
    </row>
    <row r="65" ht="15.75" customHeight="1">
      <c r="A65" s="19"/>
      <c r="B65" s="19"/>
      <c r="C65" s="19"/>
      <c r="D65" s="19"/>
      <c r="E65" s="19"/>
      <c r="F65" s="19"/>
      <c r="G65" s="19"/>
      <c r="H65" s="19"/>
      <c r="I65" s="19"/>
      <c r="J65" s="19"/>
      <c r="K65" s="19"/>
      <c r="L65" s="19"/>
      <c r="M65" s="19"/>
      <c r="N65" s="19"/>
      <c r="O65" s="19"/>
      <c r="P65" s="20"/>
    </row>
    <row r="66" ht="15.75" customHeight="1">
      <c r="A66" s="19"/>
      <c r="B66" s="19"/>
      <c r="C66" s="19"/>
      <c r="D66" s="19"/>
      <c r="E66" s="19"/>
      <c r="F66" s="19"/>
      <c r="G66" s="19"/>
      <c r="H66" s="19"/>
      <c r="I66" s="19"/>
      <c r="J66" s="19"/>
      <c r="K66" s="19"/>
      <c r="L66" s="19"/>
      <c r="M66" s="19"/>
      <c r="N66" s="19"/>
      <c r="O66" s="19"/>
      <c r="P66" s="20"/>
    </row>
    <row r="67" ht="15.75" customHeight="1">
      <c r="A67" s="19"/>
      <c r="B67" s="19"/>
      <c r="C67" s="19"/>
      <c r="D67" s="19"/>
      <c r="E67" s="19"/>
      <c r="F67" s="19"/>
      <c r="G67" s="19"/>
      <c r="H67" s="19"/>
      <c r="I67" s="19"/>
      <c r="J67" s="19"/>
      <c r="K67" s="19"/>
      <c r="L67" s="19"/>
      <c r="M67" s="19"/>
      <c r="N67" s="19"/>
      <c r="O67" s="19"/>
      <c r="P67" s="20"/>
    </row>
    <row r="68" ht="15.75" customHeight="1">
      <c r="A68" s="19"/>
      <c r="B68" s="19"/>
      <c r="C68" s="19"/>
      <c r="D68" s="19"/>
      <c r="E68" s="19"/>
      <c r="F68" s="19"/>
      <c r="G68" s="19"/>
      <c r="H68" s="19"/>
      <c r="I68" s="19"/>
      <c r="J68" s="19"/>
      <c r="K68" s="19"/>
      <c r="L68" s="19"/>
      <c r="M68" s="19"/>
      <c r="N68" s="19"/>
      <c r="O68" s="19"/>
      <c r="P68" s="20"/>
    </row>
    <row r="69" ht="15.75" customHeight="1">
      <c r="A69" s="19"/>
      <c r="B69" s="19"/>
      <c r="C69" s="19"/>
      <c r="D69" s="19"/>
      <c r="E69" s="19"/>
      <c r="F69" s="19"/>
      <c r="G69" s="19"/>
      <c r="H69" s="19"/>
      <c r="I69" s="19"/>
      <c r="J69" s="19"/>
      <c r="K69" s="19"/>
      <c r="L69" s="19"/>
      <c r="M69" s="19"/>
      <c r="N69" s="19"/>
      <c r="O69" s="19"/>
      <c r="P69" s="20"/>
    </row>
    <row r="70" ht="15.75" customHeight="1">
      <c r="A70" s="19"/>
      <c r="B70" s="19"/>
      <c r="C70" s="19"/>
      <c r="D70" s="19"/>
      <c r="E70" s="19"/>
      <c r="F70" s="19"/>
      <c r="G70" s="19"/>
      <c r="H70" s="19"/>
      <c r="I70" s="19"/>
      <c r="J70" s="19"/>
      <c r="K70" s="19"/>
      <c r="L70" s="19"/>
      <c r="M70" s="19"/>
      <c r="N70" s="19"/>
      <c r="O70" s="19"/>
      <c r="P70" s="20"/>
    </row>
    <row r="71" ht="15.75" customHeight="1">
      <c r="A71" s="19"/>
      <c r="B71" s="19"/>
      <c r="C71" s="19"/>
      <c r="D71" s="19"/>
      <c r="E71" s="19"/>
      <c r="F71" s="19"/>
      <c r="G71" s="19"/>
      <c r="H71" s="19"/>
      <c r="I71" s="19"/>
      <c r="J71" s="19"/>
      <c r="K71" s="19"/>
      <c r="L71" s="19"/>
      <c r="M71" s="19"/>
      <c r="N71" s="19"/>
      <c r="O71" s="19"/>
      <c r="P71" s="20"/>
    </row>
    <row r="72" ht="15.75" customHeight="1">
      <c r="A72" s="19"/>
      <c r="B72" s="19"/>
      <c r="C72" s="19"/>
      <c r="D72" s="19"/>
      <c r="E72" s="19"/>
      <c r="F72" s="19"/>
      <c r="G72" s="19"/>
      <c r="H72" s="19"/>
      <c r="I72" s="19"/>
      <c r="J72" s="19"/>
      <c r="K72" s="19"/>
      <c r="L72" s="19"/>
      <c r="M72" s="19"/>
      <c r="N72" s="19"/>
      <c r="O72" s="19"/>
      <c r="P72" s="20"/>
    </row>
    <row r="73" ht="15.75" customHeight="1">
      <c r="A73" s="19"/>
      <c r="B73" s="19"/>
      <c r="C73" s="19"/>
      <c r="D73" s="19"/>
      <c r="E73" s="19"/>
      <c r="F73" s="19"/>
      <c r="G73" s="19"/>
      <c r="H73" s="19"/>
      <c r="I73" s="19"/>
      <c r="J73" s="19"/>
      <c r="K73" s="19"/>
      <c r="L73" s="19"/>
      <c r="M73" s="19"/>
      <c r="N73" s="19"/>
      <c r="O73" s="19"/>
      <c r="P73" s="20"/>
    </row>
    <row r="74" ht="15.75" customHeight="1">
      <c r="A74" s="19"/>
      <c r="B74" s="19"/>
      <c r="C74" s="19"/>
      <c r="D74" s="19"/>
      <c r="E74" s="19"/>
      <c r="F74" s="19"/>
      <c r="G74" s="19"/>
      <c r="H74" s="19"/>
      <c r="I74" s="19"/>
      <c r="J74" s="19"/>
      <c r="K74" s="19"/>
      <c r="L74" s="19"/>
      <c r="M74" s="19"/>
      <c r="N74" s="19"/>
      <c r="O74" s="19"/>
      <c r="P74" s="20"/>
    </row>
    <row r="75" ht="15.75" customHeight="1">
      <c r="A75" s="19"/>
      <c r="B75" s="19"/>
      <c r="C75" s="19"/>
      <c r="D75" s="19"/>
      <c r="E75" s="19"/>
      <c r="F75" s="19"/>
      <c r="G75" s="19"/>
      <c r="H75" s="19"/>
      <c r="I75" s="19"/>
      <c r="J75" s="19"/>
      <c r="K75" s="19"/>
      <c r="L75" s="19"/>
      <c r="M75" s="19"/>
      <c r="N75" s="19"/>
      <c r="O75" s="19"/>
      <c r="P75" s="20"/>
    </row>
    <row r="76" ht="15.75" customHeight="1">
      <c r="A76" s="19"/>
      <c r="B76" s="19"/>
      <c r="C76" s="19"/>
      <c r="D76" s="19"/>
      <c r="E76" s="19"/>
      <c r="F76" s="19"/>
      <c r="G76" s="19"/>
      <c r="H76" s="19"/>
      <c r="I76" s="19"/>
      <c r="J76" s="19"/>
      <c r="K76" s="19"/>
      <c r="L76" s="19"/>
      <c r="M76" s="19"/>
      <c r="N76" s="19"/>
      <c r="O76" s="19"/>
      <c r="P76" s="20"/>
    </row>
    <row r="77" ht="15.75" customHeight="1">
      <c r="A77" s="19"/>
      <c r="B77" s="19"/>
      <c r="C77" s="19"/>
      <c r="D77" s="19"/>
      <c r="E77" s="19"/>
      <c r="F77" s="19"/>
      <c r="G77" s="19"/>
      <c r="H77" s="19"/>
      <c r="I77" s="19"/>
      <c r="J77" s="19"/>
      <c r="K77" s="19"/>
      <c r="L77" s="19"/>
      <c r="M77" s="19"/>
      <c r="N77" s="19"/>
      <c r="O77" s="19"/>
      <c r="P77" s="20"/>
    </row>
    <row r="78" ht="15.75" customHeight="1">
      <c r="A78" s="19"/>
      <c r="B78" s="19"/>
      <c r="C78" s="19"/>
      <c r="D78" s="19"/>
      <c r="E78" s="19"/>
      <c r="F78" s="19"/>
      <c r="G78" s="19"/>
      <c r="H78" s="19"/>
      <c r="I78" s="19"/>
      <c r="J78" s="19"/>
      <c r="K78" s="19"/>
      <c r="L78" s="19"/>
      <c r="M78" s="19"/>
      <c r="N78" s="19"/>
      <c r="O78" s="19"/>
      <c r="P78" s="20"/>
    </row>
    <row r="79" ht="15.75" customHeight="1">
      <c r="A79" s="19"/>
      <c r="B79" s="19"/>
      <c r="C79" s="19"/>
      <c r="D79" s="19"/>
      <c r="E79" s="19"/>
      <c r="F79" s="19"/>
      <c r="G79" s="19"/>
      <c r="H79" s="19"/>
      <c r="I79" s="19"/>
      <c r="J79" s="19"/>
      <c r="K79" s="19"/>
      <c r="L79" s="19"/>
      <c r="M79" s="19"/>
      <c r="N79" s="19"/>
      <c r="O79" s="19"/>
      <c r="P79" s="20"/>
    </row>
    <row r="80" ht="15.75" customHeight="1">
      <c r="A80" s="19"/>
      <c r="B80" s="19"/>
      <c r="C80" s="19"/>
      <c r="D80" s="19"/>
      <c r="E80" s="19"/>
      <c r="F80" s="19"/>
      <c r="G80" s="19"/>
      <c r="H80" s="19"/>
      <c r="I80" s="19"/>
      <c r="J80" s="19"/>
      <c r="K80" s="19"/>
      <c r="L80" s="19"/>
      <c r="M80" s="19"/>
      <c r="N80" s="19"/>
      <c r="O80" s="19"/>
      <c r="P80" s="20"/>
    </row>
    <row r="81" ht="15.75" customHeight="1">
      <c r="A81" s="19"/>
      <c r="B81" s="19"/>
      <c r="C81" s="19"/>
      <c r="D81" s="19"/>
      <c r="E81" s="19"/>
      <c r="F81" s="19"/>
      <c r="G81" s="19"/>
      <c r="H81" s="19"/>
      <c r="I81" s="19"/>
      <c r="J81" s="19"/>
      <c r="K81" s="19"/>
      <c r="L81" s="19"/>
      <c r="M81" s="19"/>
      <c r="N81" s="19"/>
      <c r="O81" s="19"/>
      <c r="P81" s="20"/>
    </row>
    <row r="82" ht="15.75" customHeight="1">
      <c r="A82" s="19"/>
      <c r="B82" s="19"/>
      <c r="C82" s="19"/>
      <c r="D82" s="19"/>
      <c r="E82" s="19"/>
      <c r="F82" s="19"/>
      <c r="G82" s="19"/>
      <c r="H82" s="19"/>
      <c r="I82" s="19"/>
      <c r="J82" s="19"/>
      <c r="K82" s="19"/>
      <c r="L82" s="19"/>
      <c r="M82" s="19"/>
      <c r="N82" s="19"/>
      <c r="O82" s="19"/>
      <c r="P82" s="20"/>
    </row>
    <row r="83" ht="15.75" customHeight="1">
      <c r="A83" s="19"/>
      <c r="B83" s="19"/>
      <c r="C83" s="19"/>
      <c r="D83" s="19"/>
      <c r="E83" s="19"/>
      <c r="F83" s="19"/>
      <c r="G83" s="19"/>
      <c r="H83" s="19"/>
      <c r="I83" s="19"/>
      <c r="J83" s="19"/>
      <c r="K83" s="19"/>
      <c r="L83" s="19"/>
      <c r="M83" s="19"/>
      <c r="N83" s="19"/>
      <c r="O83" s="19"/>
      <c r="P83" s="20"/>
    </row>
    <row r="84" ht="15.75" customHeight="1">
      <c r="A84" s="19"/>
      <c r="B84" s="19"/>
      <c r="C84" s="19"/>
      <c r="D84" s="19"/>
      <c r="E84" s="19"/>
      <c r="F84" s="19"/>
      <c r="G84" s="19"/>
      <c r="H84" s="19"/>
      <c r="I84" s="19"/>
      <c r="J84" s="19"/>
      <c r="K84" s="19"/>
      <c r="L84" s="19"/>
      <c r="M84" s="19"/>
      <c r="N84" s="19"/>
      <c r="O84" s="19"/>
      <c r="P84" s="20"/>
    </row>
    <row r="85" ht="15.75" customHeight="1">
      <c r="A85" s="19"/>
      <c r="B85" s="19"/>
      <c r="C85" s="19"/>
      <c r="D85" s="19"/>
      <c r="E85" s="19"/>
      <c r="F85" s="19"/>
      <c r="G85" s="19"/>
      <c r="H85" s="19"/>
      <c r="I85" s="19"/>
      <c r="J85" s="19"/>
      <c r="K85" s="19"/>
      <c r="L85" s="19"/>
      <c r="M85" s="19"/>
      <c r="N85" s="19"/>
      <c r="O85" s="19"/>
      <c r="P85" s="20"/>
    </row>
    <row r="86" ht="15.75" customHeight="1">
      <c r="A86" s="19"/>
      <c r="B86" s="19"/>
      <c r="C86" s="19"/>
      <c r="D86" s="19"/>
      <c r="E86" s="19"/>
      <c r="F86" s="19"/>
      <c r="G86" s="19"/>
      <c r="H86" s="19"/>
      <c r="I86" s="19"/>
      <c r="J86" s="19"/>
      <c r="K86" s="19"/>
      <c r="L86" s="19"/>
      <c r="M86" s="19"/>
      <c r="N86" s="19"/>
      <c r="O86" s="19"/>
      <c r="P86" s="20"/>
    </row>
    <row r="87" ht="15.75" customHeight="1">
      <c r="A87" s="19"/>
      <c r="B87" s="19"/>
      <c r="C87" s="19"/>
      <c r="D87" s="19"/>
      <c r="E87" s="19"/>
      <c r="F87" s="19"/>
      <c r="G87" s="19"/>
      <c r="H87" s="19"/>
      <c r="I87" s="19"/>
      <c r="J87" s="19"/>
      <c r="K87" s="19"/>
      <c r="L87" s="19"/>
      <c r="M87" s="19"/>
      <c r="N87" s="19"/>
      <c r="O87" s="19"/>
      <c r="P87" s="20"/>
    </row>
    <row r="88" ht="15.75" customHeight="1">
      <c r="A88" s="19"/>
      <c r="B88" s="19"/>
      <c r="C88" s="19"/>
      <c r="D88" s="19"/>
      <c r="E88" s="19"/>
      <c r="F88" s="19"/>
      <c r="G88" s="19"/>
      <c r="H88" s="19"/>
      <c r="I88" s="19"/>
      <c r="J88" s="19"/>
      <c r="K88" s="19"/>
      <c r="L88" s="19"/>
      <c r="M88" s="19"/>
      <c r="N88" s="19"/>
      <c r="O88" s="19"/>
      <c r="P88" s="20"/>
    </row>
    <row r="89" ht="15.75" customHeight="1">
      <c r="A89" s="19"/>
      <c r="B89" s="19"/>
      <c r="C89" s="19"/>
      <c r="D89" s="19"/>
      <c r="E89" s="19"/>
      <c r="F89" s="19"/>
      <c r="G89" s="19"/>
      <c r="H89" s="19"/>
      <c r="I89" s="19"/>
      <c r="J89" s="19"/>
      <c r="K89" s="19"/>
      <c r="L89" s="19"/>
      <c r="M89" s="19"/>
      <c r="N89" s="19"/>
      <c r="O89" s="19"/>
      <c r="P89" s="20"/>
    </row>
    <row r="90" ht="15.75" customHeight="1">
      <c r="A90" s="19"/>
      <c r="B90" s="19"/>
      <c r="C90" s="19"/>
      <c r="D90" s="19"/>
      <c r="E90" s="19"/>
      <c r="F90" s="19"/>
      <c r="G90" s="19"/>
      <c r="H90" s="19"/>
      <c r="I90" s="19"/>
      <c r="J90" s="19"/>
      <c r="K90" s="19"/>
      <c r="L90" s="19"/>
      <c r="M90" s="19"/>
      <c r="N90" s="19"/>
      <c r="O90" s="19"/>
      <c r="P90" s="20"/>
    </row>
    <row r="91" ht="15.75" customHeight="1">
      <c r="A91" s="19"/>
      <c r="B91" s="19"/>
      <c r="C91" s="19"/>
      <c r="D91" s="19"/>
      <c r="E91" s="19"/>
      <c r="F91" s="19"/>
      <c r="G91" s="19"/>
      <c r="H91" s="19"/>
      <c r="I91" s="19"/>
      <c r="J91" s="19"/>
      <c r="K91" s="19"/>
      <c r="L91" s="19"/>
      <c r="M91" s="19"/>
      <c r="N91" s="19"/>
      <c r="O91" s="19"/>
      <c r="P91" s="20"/>
    </row>
    <row r="92" ht="15.75" customHeight="1">
      <c r="A92" s="19"/>
      <c r="B92" s="19"/>
      <c r="C92" s="19"/>
      <c r="D92" s="19"/>
      <c r="E92" s="19"/>
      <c r="F92" s="19"/>
      <c r="G92" s="19"/>
      <c r="H92" s="19"/>
      <c r="I92" s="19"/>
      <c r="J92" s="19"/>
      <c r="K92" s="19"/>
      <c r="L92" s="19"/>
      <c r="M92" s="19"/>
      <c r="N92" s="19"/>
      <c r="O92" s="19"/>
      <c r="P92" s="20"/>
    </row>
    <row r="93" ht="15.75" customHeight="1">
      <c r="A93" s="19"/>
      <c r="B93" s="19"/>
      <c r="C93" s="19"/>
      <c r="D93" s="19"/>
      <c r="E93" s="19"/>
      <c r="F93" s="19"/>
      <c r="G93" s="19"/>
      <c r="H93" s="19"/>
      <c r="I93" s="19"/>
      <c r="J93" s="19"/>
      <c r="K93" s="19"/>
      <c r="L93" s="19"/>
      <c r="M93" s="19"/>
      <c r="N93" s="19"/>
      <c r="O93" s="19"/>
      <c r="P93" s="20"/>
    </row>
    <row r="94" ht="15.75" customHeight="1">
      <c r="A94" s="19"/>
      <c r="B94" s="19"/>
      <c r="C94" s="19"/>
      <c r="D94" s="19"/>
      <c r="E94" s="19"/>
      <c r="F94" s="19"/>
      <c r="G94" s="19"/>
      <c r="H94" s="19"/>
      <c r="I94" s="19"/>
      <c r="J94" s="19"/>
      <c r="K94" s="19"/>
      <c r="L94" s="19"/>
      <c r="M94" s="19"/>
      <c r="N94" s="19"/>
      <c r="O94" s="19"/>
      <c r="P94" s="20"/>
    </row>
    <row r="95" ht="15.75" customHeight="1">
      <c r="A95" s="19"/>
      <c r="B95" s="19"/>
      <c r="C95" s="19"/>
      <c r="D95" s="19"/>
      <c r="E95" s="19"/>
      <c r="F95" s="19"/>
      <c r="G95" s="19"/>
      <c r="H95" s="19"/>
      <c r="I95" s="19"/>
      <c r="J95" s="19"/>
      <c r="K95" s="19"/>
      <c r="L95" s="19"/>
      <c r="M95" s="19"/>
      <c r="N95" s="19"/>
      <c r="O95" s="19"/>
      <c r="P95" s="20"/>
    </row>
    <row r="96" ht="15.75" customHeight="1">
      <c r="A96" s="19"/>
      <c r="B96" s="19"/>
      <c r="C96" s="19"/>
      <c r="D96" s="19"/>
      <c r="E96" s="19"/>
      <c r="F96" s="19"/>
      <c r="G96" s="19"/>
      <c r="H96" s="19"/>
      <c r="I96" s="19"/>
      <c r="J96" s="19"/>
      <c r="K96" s="19"/>
      <c r="L96" s="19"/>
      <c r="M96" s="19"/>
      <c r="N96" s="19"/>
      <c r="O96" s="19"/>
      <c r="P96" s="20"/>
    </row>
    <row r="97" ht="15.75" customHeight="1">
      <c r="A97" s="19"/>
      <c r="B97" s="19"/>
      <c r="C97" s="19"/>
      <c r="D97" s="19"/>
      <c r="E97" s="19"/>
      <c r="F97" s="19"/>
      <c r="G97" s="19"/>
      <c r="H97" s="19"/>
      <c r="I97" s="19"/>
      <c r="J97" s="19"/>
      <c r="K97" s="19"/>
      <c r="L97" s="19"/>
      <c r="M97" s="19"/>
      <c r="N97" s="19"/>
      <c r="O97" s="19"/>
      <c r="P97" s="20"/>
    </row>
    <row r="98" ht="15.75" customHeight="1">
      <c r="A98" s="19"/>
      <c r="B98" s="19"/>
      <c r="C98" s="19"/>
      <c r="D98" s="19"/>
      <c r="E98" s="19"/>
      <c r="F98" s="19"/>
      <c r="G98" s="19"/>
      <c r="H98" s="19"/>
      <c r="I98" s="19"/>
      <c r="J98" s="19"/>
      <c r="K98" s="19"/>
      <c r="L98" s="19"/>
      <c r="M98" s="19"/>
      <c r="N98" s="19"/>
      <c r="O98" s="19"/>
      <c r="P98" s="20"/>
    </row>
    <row r="99" ht="15.75" customHeight="1">
      <c r="A99" s="19"/>
      <c r="B99" s="19"/>
      <c r="C99" s="19"/>
      <c r="D99" s="19"/>
      <c r="E99" s="19"/>
      <c r="F99" s="19"/>
      <c r="G99" s="19"/>
      <c r="H99" s="19"/>
      <c r="I99" s="19"/>
      <c r="J99" s="19"/>
      <c r="K99" s="19"/>
      <c r="L99" s="19"/>
      <c r="M99" s="19"/>
      <c r="N99" s="19"/>
      <c r="O99" s="19"/>
      <c r="P99" s="20"/>
    </row>
    <row r="100" ht="15.75" customHeight="1">
      <c r="A100" s="19"/>
      <c r="B100" s="19"/>
      <c r="C100" s="19"/>
      <c r="D100" s="19"/>
      <c r="E100" s="19"/>
      <c r="F100" s="19"/>
      <c r="G100" s="19"/>
      <c r="H100" s="19"/>
      <c r="I100" s="19"/>
      <c r="J100" s="19"/>
      <c r="K100" s="19"/>
      <c r="L100" s="19"/>
      <c r="M100" s="19"/>
      <c r="N100" s="19"/>
      <c r="O100" s="19"/>
      <c r="P100" s="20"/>
    </row>
    <row r="101" ht="15.75" customHeight="1">
      <c r="A101" s="19"/>
      <c r="B101" s="19"/>
      <c r="C101" s="19"/>
      <c r="D101" s="19"/>
      <c r="E101" s="19"/>
      <c r="F101" s="19"/>
      <c r="G101" s="19"/>
      <c r="H101" s="19"/>
      <c r="I101" s="19"/>
      <c r="J101" s="19"/>
      <c r="K101" s="19"/>
      <c r="L101" s="19"/>
      <c r="M101" s="19"/>
      <c r="N101" s="19"/>
      <c r="O101" s="19"/>
      <c r="P101" s="20"/>
    </row>
    <row r="102" ht="15.75" customHeight="1">
      <c r="A102" s="19"/>
      <c r="B102" s="19"/>
      <c r="C102" s="19"/>
      <c r="D102" s="19"/>
      <c r="E102" s="19"/>
      <c r="F102" s="19"/>
      <c r="G102" s="19"/>
      <c r="H102" s="19"/>
      <c r="I102" s="19"/>
      <c r="J102" s="19"/>
      <c r="K102" s="19"/>
      <c r="L102" s="19"/>
      <c r="M102" s="19"/>
      <c r="N102" s="19"/>
      <c r="O102" s="19"/>
      <c r="P102" s="20"/>
    </row>
    <row r="103" ht="15.75" customHeight="1">
      <c r="A103" s="19"/>
      <c r="B103" s="19"/>
      <c r="C103" s="19"/>
      <c r="D103" s="19"/>
      <c r="E103" s="19"/>
      <c r="F103" s="19"/>
      <c r="G103" s="19"/>
      <c r="H103" s="19"/>
      <c r="I103" s="19"/>
      <c r="J103" s="19"/>
      <c r="K103" s="19"/>
      <c r="L103" s="19"/>
      <c r="M103" s="19"/>
      <c r="N103" s="19"/>
      <c r="O103" s="19"/>
      <c r="P103" s="20"/>
    </row>
    <row r="104" ht="15.75" customHeight="1">
      <c r="A104" s="19"/>
      <c r="B104" s="19"/>
      <c r="C104" s="19"/>
      <c r="D104" s="19"/>
      <c r="E104" s="19"/>
      <c r="F104" s="19"/>
      <c r="G104" s="19"/>
      <c r="H104" s="19"/>
      <c r="I104" s="19"/>
      <c r="J104" s="19"/>
      <c r="K104" s="19"/>
      <c r="L104" s="19"/>
      <c r="M104" s="19"/>
      <c r="N104" s="19"/>
      <c r="O104" s="19"/>
      <c r="P104" s="20"/>
    </row>
    <row r="105" ht="15.75" customHeight="1">
      <c r="A105" s="19"/>
      <c r="B105" s="19"/>
      <c r="C105" s="19"/>
      <c r="D105" s="19"/>
      <c r="E105" s="19"/>
      <c r="F105" s="19"/>
      <c r="G105" s="19"/>
      <c r="H105" s="19"/>
      <c r="I105" s="19"/>
      <c r="J105" s="19"/>
      <c r="K105" s="19"/>
      <c r="L105" s="19"/>
      <c r="M105" s="19"/>
      <c r="N105" s="19"/>
      <c r="O105" s="19"/>
      <c r="P105" s="20"/>
    </row>
    <row r="106" ht="15.75" customHeight="1">
      <c r="A106" s="19"/>
      <c r="B106" s="19"/>
      <c r="C106" s="19"/>
      <c r="D106" s="19"/>
      <c r="E106" s="19"/>
      <c r="F106" s="19"/>
      <c r="G106" s="19"/>
      <c r="H106" s="19"/>
      <c r="I106" s="19"/>
      <c r="J106" s="19"/>
      <c r="K106" s="19"/>
      <c r="L106" s="19"/>
      <c r="M106" s="19"/>
      <c r="N106" s="19"/>
      <c r="O106" s="19"/>
      <c r="P106" s="20"/>
    </row>
    <row r="107" ht="15.75" customHeight="1">
      <c r="A107" s="19"/>
      <c r="B107" s="19"/>
      <c r="C107" s="19"/>
      <c r="D107" s="19"/>
      <c r="E107" s="19"/>
      <c r="F107" s="19"/>
      <c r="G107" s="19"/>
      <c r="H107" s="19"/>
      <c r="I107" s="19"/>
      <c r="J107" s="19"/>
      <c r="K107" s="19"/>
      <c r="L107" s="19"/>
      <c r="M107" s="19"/>
      <c r="N107" s="19"/>
      <c r="O107" s="19"/>
      <c r="P107" s="20"/>
    </row>
    <row r="108" ht="15.75" customHeight="1">
      <c r="A108" s="19"/>
      <c r="B108" s="19"/>
      <c r="C108" s="19"/>
      <c r="D108" s="19"/>
      <c r="E108" s="19"/>
      <c r="F108" s="19"/>
      <c r="G108" s="19"/>
      <c r="H108" s="19"/>
      <c r="I108" s="19"/>
      <c r="J108" s="19"/>
      <c r="K108" s="19"/>
      <c r="L108" s="19"/>
      <c r="M108" s="19"/>
      <c r="N108" s="19"/>
      <c r="O108" s="19"/>
      <c r="P108" s="20"/>
    </row>
    <row r="109" ht="15.75" customHeight="1">
      <c r="A109" s="19"/>
      <c r="B109" s="19"/>
      <c r="C109" s="19"/>
      <c r="D109" s="19"/>
      <c r="E109" s="19"/>
      <c r="F109" s="19"/>
      <c r="G109" s="19"/>
      <c r="H109" s="19"/>
      <c r="I109" s="19"/>
      <c r="J109" s="19"/>
      <c r="K109" s="19"/>
      <c r="L109" s="19"/>
      <c r="M109" s="19"/>
      <c r="N109" s="19"/>
      <c r="O109" s="19"/>
      <c r="P109" s="20"/>
    </row>
    <row r="110" ht="15.75" customHeight="1">
      <c r="A110" s="19"/>
      <c r="B110" s="19"/>
      <c r="C110" s="19"/>
      <c r="D110" s="19"/>
      <c r="E110" s="19"/>
      <c r="F110" s="19"/>
      <c r="G110" s="19"/>
      <c r="H110" s="19"/>
      <c r="I110" s="19"/>
      <c r="J110" s="19"/>
      <c r="K110" s="19"/>
      <c r="L110" s="19"/>
      <c r="M110" s="19"/>
      <c r="N110" s="19"/>
      <c r="O110" s="19"/>
      <c r="P110" s="20"/>
    </row>
    <row r="111" ht="15.75" customHeight="1">
      <c r="A111" s="19"/>
      <c r="B111" s="19"/>
      <c r="C111" s="19"/>
      <c r="D111" s="19"/>
      <c r="E111" s="19"/>
      <c r="F111" s="19"/>
      <c r="G111" s="19"/>
      <c r="H111" s="19"/>
      <c r="I111" s="19"/>
      <c r="J111" s="19"/>
      <c r="K111" s="19"/>
      <c r="L111" s="19"/>
      <c r="M111" s="19"/>
      <c r="N111" s="19"/>
      <c r="O111" s="19"/>
      <c r="P111" s="20"/>
    </row>
    <row r="112" ht="15.75" customHeight="1">
      <c r="A112" s="19"/>
      <c r="B112" s="19"/>
      <c r="C112" s="19"/>
      <c r="D112" s="19"/>
      <c r="E112" s="19"/>
      <c r="F112" s="19"/>
      <c r="G112" s="19"/>
      <c r="H112" s="19"/>
      <c r="I112" s="19"/>
      <c r="J112" s="19"/>
      <c r="K112" s="19"/>
      <c r="L112" s="19"/>
      <c r="M112" s="19"/>
      <c r="N112" s="19"/>
      <c r="O112" s="19"/>
      <c r="P112" s="20"/>
    </row>
    <row r="113" ht="15.75" customHeight="1">
      <c r="A113" s="19"/>
      <c r="B113" s="19"/>
      <c r="C113" s="19"/>
      <c r="D113" s="19"/>
      <c r="E113" s="19"/>
      <c r="F113" s="19"/>
      <c r="G113" s="19"/>
      <c r="H113" s="19"/>
      <c r="I113" s="19"/>
      <c r="J113" s="19"/>
      <c r="K113" s="19"/>
      <c r="L113" s="19"/>
      <c r="M113" s="19"/>
      <c r="N113" s="19"/>
      <c r="O113" s="19"/>
      <c r="P113" s="20"/>
    </row>
    <row r="114" ht="15.75" customHeight="1">
      <c r="A114" s="19"/>
      <c r="B114" s="19"/>
      <c r="C114" s="19"/>
      <c r="D114" s="19"/>
      <c r="E114" s="19"/>
      <c r="F114" s="19"/>
      <c r="G114" s="19"/>
      <c r="H114" s="19"/>
      <c r="I114" s="19"/>
      <c r="J114" s="19"/>
      <c r="K114" s="19"/>
      <c r="L114" s="19"/>
      <c r="M114" s="19"/>
      <c r="N114" s="19"/>
      <c r="O114" s="19"/>
      <c r="P114" s="20"/>
    </row>
    <row r="115" ht="15.75" customHeight="1">
      <c r="A115" s="19"/>
      <c r="B115" s="19"/>
      <c r="C115" s="19"/>
      <c r="D115" s="19"/>
      <c r="E115" s="19"/>
      <c r="F115" s="19"/>
      <c r="G115" s="19"/>
      <c r="H115" s="19"/>
      <c r="I115" s="19"/>
      <c r="J115" s="19"/>
      <c r="K115" s="19"/>
      <c r="L115" s="19"/>
      <c r="M115" s="19"/>
      <c r="N115" s="19"/>
      <c r="O115" s="19"/>
      <c r="P115" s="20"/>
    </row>
    <row r="116" ht="15.75" customHeight="1">
      <c r="A116" s="19"/>
      <c r="B116" s="19"/>
      <c r="C116" s="19"/>
      <c r="D116" s="19"/>
      <c r="E116" s="19"/>
      <c r="F116" s="19"/>
      <c r="G116" s="19"/>
      <c r="H116" s="19"/>
      <c r="I116" s="19"/>
      <c r="J116" s="19"/>
      <c r="K116" s="19"/>
      <c r="L116" s="19"/>
      <c r="M116" s="19"/>
      <c r="N116" s="19"/>
      <c r="O116" s="19"/>
      <c r="P116" s="20"/>
    </row>
    <row r="117" ht="15.75" customHeight="1">
      <c r="A117" s="19"/>
      <c r="B117" s="19"/>
      <c r="C117" s="19"/>
      <c r="D117" s="19"/>
      <c r="E117" s="19"/>
      <c r="F117" s="19"/>
      <c r="G117" s="19"/>
      <c r="H117" s="19"/>
      <c r="I117" s="19"/>
      <c r="J117" s="19"/>
      <c r="K117" s="19"/>
      <c r="L117" s="19"/>
      <c r="M117" s="19"/>
      <c r="N117" s="19"/>
      <c r="O117" s="19"/>
      <c r="P117" s="20"/>
    </row>
    <row r="118" ht="15.75" customHeight="1">
      <c r="A118" s="19"/>
      <c r="B118" s="19"/>
      <c r="C118" s="19"/>
      <c r="D118" s="19"/>
      <c r="E118" s="19"/>
      <c r="F118" s="19"/>
      <c r="G118" s="19"/>
      <c r="H118" s="19"/>
      <c r="I118" s="19"/>
      <c r="J118" s="19"/>
      <c r="K118" s="19"/>
      <c r="L118" s="19"/>
      <c r="M118" s="19"/>
      <c r="N118" s="19"/>
      <c r="O118" s="19"/>
      <c r="P118" s="20"/>
    </row>
    <row r="119" ht="15.75" customHeight="1">
      <c r="A119" s="19"/>
      <c r="B119" s="19"/>
      <c r="C119" s="19"/>
      <c r="D119" s="19"/>
      <c r="E119" s="19"/>
      <c r="F119" s="19"/>
      <c r="G119" s="19"/>
      <c r="H119" s="19"/>
      <c r="I119" s="19"/>
      <c r="J119" s="19"/>
      <c r="K119" s="19"/>
      <c r="L119" s="19"/>
      <c r="M119" s="19"/>
      <c r="N119" s="19"/>
      <c r="O119" s="19"/>
      <c r="P119" s="20"/>
    </row>
    <row r="120" ht="15.75" customHeight="1">
      <c r="A120" s="19"/>
      <c r="B120" s="19"/>
      <c r="C120" s="19"/>
      <c r="D120" s="19"/>
      <c r="E120" s="19"/>
      <c r="F120" s="19"/>
      <c r="G120" s="19"/>
      <c r="H120" s="19"/>
      <c r="I120" s="19"/>
      <c r="J120" s="19"/>
      <c r="K120" s="19"/>
      <c r="L120" s="19"/>
      <c r="M120" s="19"/>
      <c r="N120" s="19"/>
      <c r="O120" s="19"/>
      <c r="P120" s="20"/>
    </row>
    <row r="121" ht="15.75" customHeight="1">
      <c r="A121" s="19"/>
      <c r="B121" s="19"/>
      <c r="C121" s="19"/>
      <c r="D121" s="19"/>
      <c r="E121" s="19"/>
      <c r="F121" s="19"/>
      <c r="G121" s="19"/>
      <c r="H121" s="19"/>
      <c r="I121" s="19"/>
      <c r="J121" s="19"/>
      <c r="K121" s="19"/>
      <c r="L121" s="19"/>
      <c r="M121" s="19"/>
      <c r="N121" s="19"/>
      <c r="O121" s="19"/>
      <c r="P121" s="20"/>
    </row>
    <row r="122" ht="15.75" customHeight="1">
      <c r="A122" s="19"/>
      <c r="B122" s="19"/>
      <c r="C122" s="19"/>
      <c r="D122" s="19"/>
      <c r="E122" s="19"/>
      <c r="F122" s="19"/>
      <c r="G122" s="19"/>
      <c r="H122" s="19"/>
      <c r="I122" s="19"/>
      <c r="J122" s="19"/>
      <c r="K122" s="19"/>
      <c r="L122" s="19"/>
      <c r="M122" s="19"/>
      <c r="N122" s="19"/>
      <c r="O122" s="19"/>
      <c r="P122" s="20"/>
    </row>
    <row r="123" ht="15.75" customHeight="1">
      <c r="A123" s="19"/>
      <c r="B123" s="19"/>
      <c r="C123" s="19"/>
      <c r="D123" s="19"/>
      <c r="E123" s="19"/>
      <c r="F123" s="19"/>
      <c r="G123" s="19"/>
      <c r="H123" s="19"/>
      <c r="I123" s="19"/>
      <c r="J123" s="19"/>
      <c r="K123" s="19"/>
      <c r="L123" s="19"/>
      <c r="M123" s="19"/>
      <c r="N123" s="19"/>
      <c r="O123" s="19"/>
      <c r="P123" s="20"/>
    </row>
    <row r="124" ht="15.75" customHeight="1">
      <c r="A124" s="19"/>
      <c r="B124" s="19"/>
      <c r="C124" s="19"/>
      <c r="D124" s="19"/>
      <c r="E124" s="19"/>
      <c r="F124" s="19"/>
      <c r="G124" s="19"/>
      <c r="H124" s="19"/>
      <c r="I124" s="19"/>
      <c r="J124" s="19"/>
      <c r="K124" s="19"/>
      <c r="L124" s="19"/>
      <c r="M124" s="19"/>
      <c r="N124" s="19"/>
      <c r="O124" s="19"/>
      <c r="P124" s="20"/>
    </row>
    <row r="125" ht="15.75" customHeight="1">
      <c r="A125" s="19"/>
      <c r="B125" s="19"/>
      <c r="C125" s="19"/>
      <c r="D125" s="19"/>
      <c r="E125" s="19"/>
      <c r="F125" s="19"/>
      <c r="G125" s="19"/>
      <c r="H125" s="19"/>
      <c r="I125" s="19"/>
      <c r="J125" s="19"/>
      <c r="K125" s="19"/>
      <c r="L125" s="19"/>
      <c r="M125" s="19"/>
      <c r="N125" s="19"/>
      <c r="O125" s="19"/>
      <c r="P125" s="20"/>
    </row>
    <row r="126" ht="15.75" customHeight="1">
      <c r="A126" s="19"/>
      <c r="B126" s="19"/>
      <c r="C126" s="19"/>
      <c r="D126" s="19"/>
      <c r="E126" s="19"/>
      <c r="F126" s="19"/>
      <c r="G126" s="19"/>
      <c r="H126" s="19"/>
      <c r="I126" s="19"/>
      <c r="J126" s="19"/>
      <c r="K126" s="19"/>
      <c r="L126" s="19"/>
      <c r="M126" s="19"/>
      <c r="N126" s="19"/>
      <c r="O126" s="19"/>
      <c r="P126" s="20"/>
    </row>
    <row r="127" ht="15.75" customHeight="1">
      <c r="A127" s="19"/>
      <c r="B127" s="19"/>
      <c r="C127" s="19"/>
      <c r="D127" s="19"/>
      <c r="E127" s="19"/>
      <c r="F127" s="19"/>
      <c r="G127" s="19"/>
      <c r="H127" s="19"/>
      <c r="I127" s="19"/>
      <c r="J127" s="19"/>
      <c r="K127" s="19"/>
      <c r="L127" s="19"/>
      <c r="M127" s="19"/>
      <c r="N127" s="19"/>
      <c r="O127" s="19"/>
      <c r="P127" s="20"/>
    </row>
    <row r="128" ht="15.75" customHeight="1">
      <c r="A128" s="19"/>
      <c r="B128" s="19"/>
      <c r="C128" s="19"/>
      <c r="D128" s="19"/>
      <c r="E128" s="19"/>
      <c r="F128" s="19"/>
      <c r="G128" s="19"/>
      <c r="H128" s="19"/>
      <c r="I128" s="19"/>
      <c r="J128" s="19"/>
      <c r="K128" s="19"/>
      <c r="L128" s="19"/>
      <c r="M128" s="19"/>
      <c r="N128" s="19"/>
      <c r="O128" s="19"/>
      <c r="P128" s="20"/>
    </row>
    <row r="129" ht="15.75" customHeight="1">
      <c r="A129" s="19"/>
      <c r="B129" s="19"/>
      <c r="C129" s="19"/>
      <c r="D129" s="19"/>
      <c r="E129" s="19"/>
      <c r="F129" s="19"/>
      <c r="G129" s="19"/>
      <c r="H129" s="19"/>
      <c r="I129" s="19"/>
      <c r="J129" s="19"/>
      <c r="K129" s="19"/>
      <c r="L129" s="19"/>
      <c r="M129" s="19"/>
      <c r="N129" s="19"/>
      <c r="O129" s="19"/>
      <c r="P129" s="20"/>
    </row>
    <row r="130" ht="15.75" customHeight="1">
      <c r="A130" s="19"/>
      <c r="B130" s="19"/>
      <c r="C130" s="19"/>
      <c r="D130" s="19"/>
      <c r="E130" s="19"/>
      <c r="F130" s="19"/>
      <c r="G130" s="19"/>
      <c r="H130" s="19"/>
      <c r="I130" s="19"/>
      <c r="J130" s="19"/>
      <c r="K130" s="19"/>
      <c r="L130" s="19"/>
      <c r="M130" s="19"/>
      <c r="N130" s="19"/>
      <c r="O130" s="19"/>
      <c r="P130" s="20"/>
    </row>
    <row r="131" ht="15.75" customHeight="1">
      <c r="A131" s="19"/>
      <c r="B131" s="19"/>
      <c r="C131" s="19"/>
      <c r="D131" s="19"/>
      <c r="E131" s="19"/>
      <c r="F131" s="19"/>
      <c r="G131" s="19"/>
      <c r="H131" s="19"/>
      <c r="I131" s="19"/>
      <c r="J131" s="19"/>
      <c r="K131" s="19"/>
      <c r="L131" s="19"/>
      <c r="M131" s="19"/>
      <c r="N131" s="19"/>
      <c r="O131" s="19"/>
      <c r="P131" s="20"/>
    </row>
    <row r="132" ht="15.75" customHeight="1">
      <c r="A132" s="19"/>
      <c r="B132" s="19"/>
      <c r="C132" s="19"/>
      <c r="D132" s="19"/>
      <c r="E132" s="19"/>
      <c r="F132" s="19"/>
      <c r="G132" s="19"/>
      <c r="H132" s="19"/>
      <c r="I132" s="19"/>
      <c r="J132" s="19"/>
      <c r="K132" s="19"/>
      <c r="L132" s="19"/>
      <c r="M132" s="19"/>
      <c r="N132" s="19"/>
      <c r="O132" s="19"/>
      <c r="P132" s="20"/>
    </row>
    <row r="133" ht="15.75" customHeight="1">
      <c r="A133" s="19"/>
      <c r="B133" s="19"/>
      <c r="C133" s="19"/>
      <c r="D133" s="19"/>
      <c r="E133" s="19"/>
      <c r="F133" s="19"/>
      <c r="G133" s="19"/>
      <c r="H133" s="19"/>
      <c r="I133" s="19"/>
      <c r="J133" s="19"/>
      <c r="K133" s="19"/>
      <c r="L133" s="19"/>
      <c r="M133" s="19"/>
      <c r="N133" s="19"/>
      <c r="O133" s="19"/>
      <c r="P133" s="20"/>
    </row>
    <row r="134" ht="15.75" customHeight="1">
      <c r="A134" s="19"/>
      <c r="B134" s="19"/>
      <c r="C134" s="19"/>
      <c r="D134" s="19"/>
      <c r="E134" s="19"/>
      <c r="F134" s="19"/>
      <c r="G134" s="19"/>
      <c r="H134" s="19"/>
      <c r="I134" s="19"/>
      <c r="J134" s="19"/>
      <c r="K134" s="19"/>
      <c r="L134" s="19"/>
      <c r="M134" s="19"/>
      <c r="N134" s="19"/>
      <c r="O134" s="19"/>
      <c r="P134" s="20"/>
    </row>
    <row r="135" ht="15.75" customHeight="1">
      <c r="A135" s="19"/>
      <c r="B135" s="19"/>
      <c r="C135" s="19"/>
      <c r="D135" s="19"/>
      <c r="E135" s="19"/>
      <c r="F135" s="19"/>
      <c r="G135" s="19"/>
      <c r="H135" s="19"/>
      <c r="I135" s="19"/>
      <c r="J135" s="19"/>
      <c r="K135" s="19"/>
      <c r="L135" s="19"/>
      <c r="M135" s="19"/>
      <c r="N135" s="19"/>
      <c r="O135" s="19"/>
      <c r="P135" s="20"/>
    </row>
    <row r="136" ht="15.75" customHeight="1">
      <c r="A136" s="19"/>
      <c r="B136" s="19"/>
      <c r="C136" s="19"/>
      <c r="D136" s="19"/>
      <c r="E136" s="19"/>
      <c r="F136" s="19"/>
      <c r="G136" s="19"/>
      <c r="H136" s="19"/>
      <c r="I136" s="19"/>
      <c r="J136" s="19"/>
      <c r="K136" s="19"/>
      <c r="L136" s="19"/>
      <c r="M136" s="19"/>
      <c r="N136" s="19"/>
      <c r="O136" s="19"/>
      <c r="P136" s="20"/>
    </row>
    <row r="137" ht="15.75" customHeight="1">
      <c r="A137" s="19"/>
      <c r="B137" s="19"/>
      <c r="C137" s="19"/>
      <c r="D137" s="19"/>
      <c r="E137" s="19"/>
      <c r="F137" s="19"/>
      <c r="G137" s="19"/>
      <c r="H137" s="19"/>
      <c r="I137" s="19"/>
      <c r="J137" s="19"/>
      <c r="K137" s="19"/>
      <c r="L137" s="19"/>
      <c r="M137" s="19"/>
      <c r="N137" s="19"/>
      <c r="O137" s="19"/>
      <c r="P137" s="20"/>
    </row>
    <row r="138" ht="15.75" customHeight="1">
      <c r="A138" s="19"/>
      <c r="B138" s="19"/>
      <c r="C138" s="19"/>
      <c r="D138" s="19"/>
      <c r="E138" s="19"/>
      <c r="F138" s="19"/>
      <c r="G138" s="19"/>
      <c r="H138" s="19"/>
      <c r="I138" s="19"/>
      <c r="J138" s="19"/>
      <c r="K138" s="19"/>
      <c r="L138" s="19"/>
      <c r="M138" s="19"/>
      <c r="N138" s="19"/>
      <c r="O138" s="19"/>
      <c r="P138" s="20"/>
    </row>
    <row r="139" ht="15.75" customHeight="1">
      <c r="A139" s="19"/>
      <c r="B139" s="19"/>
      <c r="C139" s="19"/>
      <c r="D139" s="19"/>
      <c r="E139" s="19"/>
      <c r="F139" s="19"/>
      <c r="G139" s="19"/>
      <c r="H139" s="19"/>
      <c r="I139" s="19"/>
      <c r="J139" s="19"/>
      <c r="K139" s="19"/>
      <c r="L139" s="19"/>
      <c r="M139" s="19"/>
      <c r="N139" s="19"/>
      <c r="O139" s="19"/>
      <c r="P139" s="20"/>
    </row>
    <row r="140" ht="15.75" customHeight="1">
      <c r="A140" s="19"/>
      <c r="B140" s="19"/>
      <c r="C140" s="19"/>
      <c r="D140" s="19"/>
      <c r="E140" s="19"/>
      <c r="F140" s="19"/>
      <c r="G140" s="19"/>
      <c r="H140" s="19"/>
      <c r="I140" s="19"/>
      <c r="J140" s="19"/>
      <c r="K140" s="19"/>
      <c r="L140" s="19"/>
      <c r="M140" s="19"/>
      <c r="N140" s="19"/>
      <c r="O140" s="19"/>
      <c r="P140" s="20"/>
    </row>
    <row r="141" ht="15.75" customHeight="1">
      <c r="A141" s="19"/>
      <c r="B141" s="19"/>
      <c r="C141" s="19"/>
      <c r="D141" s="19"/>
      <c r="E141" s="19"/>
      <c r="F141" s="19"/>
      <c r="G141" s="19"/>
      <c r="H141" s="19"/>
      <c r="I141" s="19"/>
      <c r="J141" s="19"/>
      <c r="K141" s="19"/>
      <c r="L141" s="19"/>
      <c r="M141" s="19"/>
      <c r="N141" s="19"/>
      <c r="O141" s="19"/>
      <c r="P141" s="20"/>
    </row>
    <row r="142" ht="15.75" customHeight="1">
      <c r="A142" s="19"/>
      <c r="B142" s="19"/>
      <c r="C142" s="19"/>
      <c r="D142" s="19"/>
      <c r="E142" s="19"/>
      <c r="F142" s="19"/>
      <c r="G142" s="19"/>
      <c r="H142" s="19"/>
      <c r="I142" s="19"/>
      <c r="J142" s="19"/>
      <c r="K142" s="19"/>
      <c r="L142" s="19"/>
      <c r="M142" s="19"/>
      <c r="N142" s="19"/>
      <c r="O142" s="19"/>
      <c r="P142" s="20"/>
    </row>
    <row r="143" ht="15.75" customHeight="1">
      <c r="A143" s="19"/>
      <c r="B143" s="19"/>
      <c r="C143" s="19"/>
      <c r="D143" s="19"/>
      <c r="E143" s="19"/>
      <c r="F143" s="19"/>
      <c r="G143" s="19"/>
      <c r="H143" s="19"/>
      <c r="I143" s="19"/>
      <c r="J143" s="19"/>
      <c r="K143" s="19"/>
      <c r="L143" s="19"/>
      <c r="M143" s="19"/>
      <c r="N143" s="19"/>
      <c r="O143" s="19"/>
      <c r="P143" s="20"/>
    </row>
    <row r="144" ht="15.75" customHeight="1">
      <c r="A144" s="19"/>
      <c r="B144" s="19"/>
      <c r="C144" s="19"/>
      <c r="D144" s="19"/>
      <c r="E144" s="19"/>
      <c r="F144" s="19"/>
      <c r="G144" s="19"/>
      <c r="H144" s="19"/>
      <c r="I144" s="19"/>
      <c r="J144" s="19"/>
      <c r="K144" s="19"/>
      <c r="L144" s="19"/>
      <c r="M144" s="19"/>
      <c r="N144" s="19"/>
      <c r="O144" s="19"/>
      <c r="P144" s="20"/>
    </row>
    <row r="145" ht="15.75" customHeight="1">
      <c r="A145" s="19"/>
      <c r="B145" s="19"/>
      <c r="C145" s="19"/>
      <c r="D145" s="19"/>
      <c r="E145" s="19"/>
      <c r="F145" s="19"/>
      <c r="G145" s="19"/>
      <c r="H145" s="19"/>
      <c r="I145" s="19"/>
      <c r="J145" s="19"/>
      <c r="K145" s="19"/>
      <c r="L145" s="19"/>
      <c r="M145" s="19"/>
      <c r="N145" s="19"/>
      <c r="O145" s="19"/>
      <c r="P145" s="20"/>
    </row>
    <row r="146" ht="15.75" customHeight="1">
      <c r="A146" s="19"/>
      <c r="B146" s="19"/>
      <c r="C146" s="19"/>
      <c r="D146" s="19"/>
      <c r="E146" s="19"/>
      <c r="F146" s="19"/>
      <c r="G146" s="19"/>
      <c r="H146" s="19"/>
      <c r="I146" s="19"/>
      <c r="J146" s="19"/>
      <c r="K146" s="19"/>
      <c r="L146" s="19"/>
      <c r="M146" s="19"/>
      <c r="N146" s="19"/>
      <c r="O146" s="19"/>
      <c r="P146" s="20"/>
    </row>
    <row r="147" ht="15.75" customHeight="1">
      <c r="A147" s="19"/>
      <c r="B147" s="19"/>
      <c r="C147" s="19"/>
      <c r="D147" s="19"/>
      <c r="E147" s="19"/>
      <c r="F147" s="19"/>
      <c r="G147" s="19"/>
      <c r="H147" s="19"/>
      <c r="I147" s="19"/>
      <c r="J147" s="19"/>
      <c r="K147" s="19"/>
      <c r="L147" s="19"/>
      <c r="M147" s="19"/>
      <c r="N147" s="19"/>
      <c r="O147" s="19"/>
      <c r="P147" s="20"/>
    </row>
    <row r="148" ht="15.75" customHeight="1">
      <c r="A148" s="19"/>
      <c r="B148" s="19"/>
      <c r="C148" s="19"/>
      <c r="D148" s="19"/>
      <c r="E148" s="19"/>
      <c r="F148" s="19"/>
      <c r="G148" s="19"/>
      <c r="H148" s="19"/>
      <c r="I148" s="19"/>
      <c r="J148" s="19"/>
      <c r="K148" s="19"/>
      <c r="L148" s="19"/>
      <c r="M148" s="19"/>
      <c r="N148" s="19"/>
      <c r="O148" s="19"/>
      <c r="P148" s="20"/>
    </row>
    <row r="149" ht="15.75" customHeight="1">
      <c r="A149" s="19"/>
      <c r="B149" s="19"/>
      <c r="C149" s="19"/>
      <c r="D149" s="19"/>
      <c r="E149" s="19"/>
      <c r="F149" s="19"/>
      <c r="G149" s="19"/>
      <c r="H149" s="19"/>
      <c r="I149" s="19"/>
      <c r="J149" s="19"/>
      <c r="K149" s="19"/>
      <c r="L149" s="19"/>
      <c r="M149" s="19"/>
      <c r="N149" s="19"/>
      <c r="O149" s="19"/>
      <c r="P149" s="20"/>
    </row>
    <row r="150" ht="15.75" customHeight="1">
      <c r="A150" s="19"/>
      <c r="B150" s="19"/>
      <c r="C150" s="19"/>
      <c r="D150" s="19"/>
      <c r="E150" s="19"/>
      <c r="F150" s="19"/>
      <c r="G150" s="19"/>
      <c r="H150" s="19"/>
      <c r="I150" s="19"/>
      <c r="J150" s="19"/>
      <c r="K150" s="19"/>
      <c r="L150" s="19"/>
      <c r="M150" s="19"/>
      <c r="N150" s="19"/>
      <c r="O150" s="19"/>
      <c r="P150" s="20"/>
    </row>
    <row r="151" ht="15.75" customHeight="1">
      <c r="A151" s="19"/>
      <c r="B151" s="19"/>
      <c r="C151" s="19"/>
      <c r="D151" s="19"/>
      <c r="E151" s="19"/>
      <c r="F151" s="19"/>
      <c r="G151" s="19"/>
      <c r="H151" s="19"/>
      <c r="I151" s="19"/>
      <c r="J151" s="19"/>
      <c r="K151" s="19"/>
      <c r="L151" s="19"/>
      <c r="M151" s="19"/>
      <c r="N151" s="19"/>
      <c r="O151" s="19"/>
      <c r="P151" s="20"/>
    </row>
    <row r="152" ht="15.75" customHeight="1">
      <c r="A152" s="19"/>
      <c r="B152" s="19"/>
      <c r="C152" s="19"/>
      <c r="D152" s="19"/>
      <c r="E152" s="19"/>
      <c r="F152" s="19"/>
      <c r="G152" s="19"/>
      <c r="H152" s="19"/>
      <c r="I152" s="19"/>
      <c r="J152" s="19"/>
      <c r="K152" s="19"/>
      <c r="L152" s="19"/>
      <c r="M152" s="19"/>
      <c r="N152" s="19"/>
      <c r="O152" s="19"/>
      <c r="P152" s="20"/>
    </row>
    <row r="153" ht="15.75" customHeight="1">
      <c r="A153" s="19"/>
      <c r="B153" s="19"/>
      <c r="C153" s="19"/>
      <c r="D153" s="19"/>
      <c r="E153" s="19"/>
      <c r="F153" s="19"/>
      <c r="G153" s="19"/>
      <c r="H153" s="19"/>
      <c r="I153" s="19"/>
      <c r="J153" s="19"/>
      <c r="K153" s="19"/>
      <c r="L153" s="19"/>
      <c r="M153" s="19"/>
      <c r="N153" s="19"/>
      <c r="O153" s="19"/>
      <c r="P153" s="20"/>
    </row>
    <row r="154" ht="15.75" customHeight="1">
      <c r="A154" s="19"/>
      <c r="B154" s="19"/>
      <c r="C154" s="19"/>
      <c r="D154" s="19"/>
      <c r="E154" s="19"/>
      <c r="F154" s="19"/>
      <c r="G154" s="19"/>
      <c r="H154" s="19"/>
      <c r="I154" s="19"/>
      <c r="J154" s="19"/>
      <c r="K154" s="19"/>
      <c r="L154" s="19"/>
      <c r="M154" s="19"/>
      <c r="N154" s="19"/>
      <c r="O154" s="19"/>
      <c r="P154" s="20"/>
    </row>
    <row r="155" ht="15.75" customHeight="1">
      <c r="A155" s="19"/>
      <c r="B155" s="19"/>
      <c r="C155" s="19"/>
      <c r="D155" s="19"/>
      <c r="E155" s="19"/>
      <c r="F155" s="19"/>
      <c r="G155" s="19"/>
      <c r="H155" s="19"/>
      <c r="I155" s="19"/>
      <c r="J155" s="19"/>
      <c r="K155" s="19"/>
      <c r="L155" s="19"/>
      <c r="M155" s="19"/>
      <c r="N155" s="19"/>
      <c r="O155" s="19"/>
      <c r="P155" s="20"/>
    </row>
    <row r="156" ht="15.75" customHeight="1">
      <c r="A156" s="19"/>
      <c r="B156" s="19"/>
      <c r="C156" s="19"/>
      <c r="D156" s="19"/>
      <c r="E156" s="19"/>
      <c r="F156" s="19"/>
      <c r="G156" s="19"/>
      <c r="H156" s="19"/>
      <c r="I156" s="19"/>
      <c r="J156" s="19"/>
      <c r="K156" s="19"/>
      <c r="L156" s="19"/>
      <c r="M156" s="19"/>
      <c r="N156" s="19"/>
      <c r="O156" s="19"/>
      <c r="P156" s="20"/>
    </row>
    <row r="157" ht="15.75" customHeight="1">
      <c r="A157" s="19"/>
      <c r="B157" s="19"/>
      <c r="C157" s="19"/>
      <c r="D157" s="19"/>
      <c r="E157" s="19"/>
      <c r="F157" s="19"/>
      <c r="G157" s="19"/>
      <c r="H157" s="19"/>
      <c r="I157" s="19"/>
      <c r="J157" s="19"/>
      <c r="K157" s="19"/>
      <c r="L157" s="19"/>
      <c r="M157" s="19"/>
      <c r="N157" s="19"/>
      <c r="O157" s="19"/>
      <c r="P157" s="20"/>
    </row>
    <row r="158" ht="15.75" customHeight="1">
      <c r="A158" s="19"/>
      <c r="B158" s="19"/>
      <c r="C158" s="19"/>
      <c r="D158" s="19"/>
      <c r="E158" s="19"/>
      <c r="F158" s="19"/>
      <c r="G158" s="19"/>
      <c r="H158" s="19"/>
      <c r="I158" s="19"/>
      <c r="J158" s="19"/>
      <c r="K158" s="19"/>
      <c r="L158" s="19"/>
      <c r="M158" s="19"/>
      <c r="N158" s="19"/>
      <c r="O158" s="19"/>
      <c r="P158" s="20"/>
    </row>
    <row r="159" ht="15.75" customHeight="1">
      <c r="A159" s="19"/>
      <c r="B159" s="19"/>
      <c r="C159" s="19"/>
      <c r="D159" s="19"/>
      <c r="E159" s="19"/>
      <c r="F159" s="19"/>
      <c r="G159" s="19"/>
      <c r="H159" s="19"/>
      <c r="I159" s="19"/>
      <c r="J159" s="19"/>
      <c r="K159" s="19"/>
      <c r="L159" s="19"/>
      <c r="M159" s="19"/>
      <c r="N159" s="19"/>
      <c r="O159" s="19"/>
      <c r="P159" s="20"/>
    </row>
    <row r="160" ht="15.75" customHeight="1">
      <c r="A160" s="19"/>
      <c r="B160" s="19"/>
      <c r="C160" s="19"/>
      <c r="D160" s="19"/>
      <c r="E160" s="19"/>
      <c r="F160" s="19"/>
      <c r="G160" s="19"/>
      <c r="H160" s="19"/>
      <c r="I160" s="19"/>
      <c r="J160" s="19"/>
      <c r="K160" s="19"/>
      <c r="L160" s="19"/>
      <c r="M160" s="19"/>
      <c r="N160" s="19"/>
      <c r="O160" s="19"/>
      <c r="P160" s="20"/>
    </row>
    <row r="161" ht="15.75" customHeight="1">
      <c r="A161" s="19"/>
      <c r="B161" s="19"/>
      <c r="C161" s="19"/>
      <c r="D161" s="19"/>
      <c r="E161" s="19"/>
      <c r="F161" s="19"/>
      <c r="G161" s="19"/>
      <c r="H161" s="19"/>
      <c r="I161" s="19"/>
      <c r="J161" s="19"/>
      <c r="K161" s="19"/>
      <c r="L161" s="19"/>
      <c r="M161" s="19"/>
      <c r="N161" s="19"/>
      <c r="O161" s="19"/>
      <c r="P161" s="20"/>
    </row>
    <row r="162" ht="15.75" customHeight="1">
      <c r="A162" s="19"/>
      <c r="B162" s="19"/>
      <c r="C162" s="19"/>
      <c r="D162" s="19"/>
      <c r="E162" s="19"/>
      <c r="F162" s="19"/>
      <c r="G162" s="19"/>
      <c r="H162" s="19"/>
      <c r="I162" s="19"/>
      <c r="J162" s="19"/>
      <c r="K162" s="19"/>
      <c r="L162" s="19"/>
      <c r="M162" s="19"/>
      <c r="N162" s="19"/>
      <c r="O162" s="19"/>
      <c r="P162" s="20"/>
    </row>
    <row r="163" ht="15.75" customHeight="1">
      <c r="A163" s="19"/>
      <c r="B163" s="19"/>
      <c r="C163" s="19"/>
      <c r="D163" s="19"/>
      <c r="E163" s="19"/>
      <c r="F163" s="19"/>
      <c r="G163" s="19"/>
      <c r="H163" s="19"/>
      <c r="I163" s="19"/>
      <c r="J163" s="19"/>
      <c r="K163" s="19"/>
      <c r="L163" s="19"/>
      <c r="M163" s="19"/>
      <c r="N163" s="19"/>
      <c r="O163" s="19"/>
      <c r="P163" s="20"/>
    </row>
    <row r="164" ht="15.75" customHeight="1">
      <c r="A164" s="19"/>
      <c r="B164" s="19"/>
      <c r="C164" s="19"/>
      <c r="D164" s="19"/>
      <c r="E164" s="19"/>
      <c r="F164" s="19"/>
      <c r="G164" s="19"/>
      <c r="H164" s="19"/>
      <c r="I164" s="19"/>
      <c r="J164" s="19"/>
      <c r="K164" s="19"/>
      <c r="L164" s="19"/>
      <c r="M164" s="19"/>
      <c r="N164" s="19"/>
      <c r="O164" s="19"/>
      <c r="P164" s="20"/>
    </row>
    <row r="165" ht="15.75" customHeight="1">
      <c r="A165" s="19"/>
      <c r="B165" s="19"/>
      <c r="C165" s="19"/>
      <c r="D165" s="19"/>
      <c r="E165" s="19"/>
      <c r="F165" s="19"/>
      <c r="G165" s="19"/>
      <c r="H165" s="19"/>
      <c r="I165" s="19"/>
      <c r="J165" s="19"/>
      <c r="K165" s="19"/>
      <c r="L165" s="19"/>
      <c r="M165" s="19"/>
      <c r="N165" s="19"/>
      <c r="O165" s="19"/>
      <c r="P165" s="20"/>
    </row>
    <row r="166" ht="15.75" customHeight="1">
      <c r="A166" s="19"/>
      <c r="B166" s="19"/>
      <c r="C166" s="19"/>
      <c r="D166" s="19"/>
      <c r="E166" s="19"/>
      <c r="F166" s="19"/>
      <c r="G166" s="19"/>
      <c r="H166" s="19"/>
      <c r="I166" s="19"/>
      <c r="J166" s="19"/>
      <c r="K166" s="19"/>
      <c r="L166" s="19"/>
      <c r="M166" s="19"/>
      <c r="N166" s="19"/>
      <c r="O166" s="19"/>
      <c r="P166" s="20"/>
    </row>
    <row r="167" ht="15.75" customHeight="1">
      <c r="A167" s="19"/>
      <c r="B167" s="19"/>
      <c r="C167" s="19"/>
      <c r="D167" s="19"/>
      <c r="E167" s="19"/>
      <c r="F167" s="19"/>
      <c r="G167" s="19"/>
      <c r="H167" s="19"/>
      <c r="I167" s="19"/>
      <c r="J167" s="19"/>
      <c r="K167" s="19"/>
      <c r="L167" s="19"/>
      <c r="M167" s="19"/>
      <c r="N167" s="19"/>
      <c r="O167" s="19"/>
      <c r="P167" s="20"/>
    </row>
    <row r="168" ht="15.75" customHeight="1">
      <c r="A168" s="19"/>
      <c r="B168" s="19"/>
      <c r="C168" s="19"/>
      <c r="D168" s="19"/>
      <c r="E168" s="19"/>
      <c r="F168" s="19"/>
      <c r="G168" s="19"/>
      <c r="H168" s="19"/>
      <c r="I168" s="19"/>
      <c r="J168" s="19"/>
      <c r="K168" s="19"/>
      <c r="L168" s="19"/>
      <c r="M168" s="19"/>
      <c r="N168" s="19"/>
      <c r="O168" s="19"/>
      <c r="P168" s="20"/>
    </row>
    <row r="169" ht="15.75" customHeight="1">
      <c r="A169" s="19"/>
      <c r="B169" s="19"/>
      <c r="C169" s="19"/>
      <c r="D169" s="19"/>
      <c r="E169" s="19"/>
      <c r="F169" s="19"/>
      <c r="G169" s="19"/>
      <c r="H169" s="19"/>
      <c r="I169" s="19"/>
      <c r="J169" s="19"/>
      <c r="K169" s="19"/>
      <c r="L169" s="19"/>
      <c r="M169" s="19"/>
      <c r="N169" s="19"/>
      <c r="O169" s="19"/>
      <c r="P169" s="20"/>
    </row>
    <row r="170" ht="15.75" customHeight="1">
      <c r="A170" s="19"/>
      <c r="B170" s="19"/>
      <c r="C170" s="19"/>
      <c r="D170" s="19"/>
      <c r="E170" s="19"/>
      <c r="F170" s="19"/>
      <c r="G170" s="19"/>
      <c r="H170" s="19"/>
      <c r="I170" s="19"/>
      <c r="J170" s="19"/>
      <c r="K170" s="19"/>
      <c r="L170" s="19"/>
      <c r="M170" s="19"/>
      <c r="N170" s="19"/>
      <c r="O170" s="19"/>
      <c r="P170" s="20"/>
    </row>
    <row r="171" ht="15.75" customHeight="1">
      <c r="A171" s="19"/>
      <c r="B171" s="19"/>
      <c r="C171" s="19"/>
      <c r="D171" s="19"/>
      <c r="E171" s="19"/>
      <c r="F171" s="19"/>
      <c r="G171" s="19"/>
      <c r="H171" s="19"/>
      <c r="I171" s="19"/>
      <c r="J171" s="19"/>
      <c r="K171" s="19"/>
      <c r="L171" s="19"/>
      <c r="M171" s="19"/>
      <c r="N171" s="19"/>
      <c r="O171" s="19"/>
      <c r="P171" s="20"/>
    </row>
    <row r="172" ht="15.75" customHeight="1">
      <c r="A172" s="19"/>
      <c r="B172" s="19"/>
      <c r="C172" s="19"/>
      <c r="D172" s="19"/>
      <c r="E172" s="19"/>
      <c r="F172" s="19"/>
      <c r="G172" s="19"/>
      <c r="H172" s="19"/>
      <c r="I172" s="19"/>
      <c r="J172" s="19"/>
      <c r="K172" s="19"/>
      <c r="L172" s="19"/>
      <c r="M172" s="19"/>
      <c r="N172" s="19"/>
      <c r="O172" s="19"/>
      <c r="P172" s="20"/>
    </row>
    <row r="173" ht="15.75" customHeight="1">
      <c r="A173" s="19"/>
      <c r="B173" s="19"/>
      <c r="C173" s="19"/>
      <c r="D173" s="19"/>
      <c r="E173" s="19"/>
      <c r="F173" s="19"/>
      <c r="G173" s="19"/>
      <c r="H173" s="19"/>
      <c r="I173" s="19"/>
      <c r="J173" s="19"/>
      <c r="K173" s="19"/>
      <c r="L173" s="19"/>
      <c r="M173" s="19"/>
      <c r="N173" s="19"/>
      <c r="O173" s="19"/>
      <c r="P173" s="20"/>
    </row>
    <row r="174" ht="15.75" customHeight="1">
      <c r="A174" s="19"/>
      <c r="B174" s="19"/>
      <c r="C174" s="19"/>
      <c r="D174" s="19"/>
      <c r="E174" s="19"/>
      <c r="F174" s="19"/>
      <c r="G174" s="19"/>
      <c r="H174" s="19"/>
      <c r="I174" s="19"/>
      <c r="J174" s="19"/>
      <c r="K174" s="19"/>
      <c r="L174" s="19"/>
      <c r="M174" s="19"/>
      <c r="N174" s="19"/>
      <c r="O174" s="19"/>
      <c r="P174" s="20"/>
    </row>
    <row r="175" ht="15.75" customHeight="1">
      <c r="A175" s="19"/>
      <c r="B175" s="19"/>
      <c r="C175" s="19"/>
      <c r="D175" s="19"/>
      <c r="E175" s="19"/>
      <c r="F175" s="19"/>
      <c r="G175" s="19"/>
      <c r="H175" s="19"/>
      <c r="I175" s="19"/>
      <c r="J175" s="19"/>
      <c r="K175" s="19"/>
      <c r="L175" s="19"/>
      <c r="M175" s="19"/>
      <c r="N175" s="19"/>
      <c r="O175" s="19"/>
      <c r="P175" s="20"/>
    </row>
    <row r="176" ht="15.75" customHeight="1">
      <c r="A176" s="19"/>
      <c r="B176" s="19"/>
      <c r="C176" s="19"/>
      <c r="D176" s="19"/>
      <c r="E176" s="19"/>
      <c r="F176" s="19"/>
      <c r="G176" s="19"/>
      <c r="H176" s="19"/>
      <c r="I176" s="19"/>
      <c r="J176" s="19"/>
      <c r="K176" s="19"/>
      <c r="L176" s="19"/>
      <c r="M176" s="19"/>
      <c r="N176" s="19"/>
      <c r="O176" s="19"/>
      <c r="P176" s="20"/>
    </row>
    <row r="177" ht="15.75" customHeight="1">
      <c r="A177" s="19"/>
      <c r="B177" s="19"/>
      <c r="C177" s="19"/>
      <c r="D177" s="19"/>
      <c r="E177" s="19"/>
      <c r="F177" s="19"/>
      <c r="G177" s="19"/>
      <c r="H177" s="19"/>
      <c r="I177" s="19"/>
      <c r="J177" s="19"/>
      <c r="K177" s="19"/>
      <c r="L177" s="19"/>
      <c r="M177" s="19"/>
      <c r="N177" s="19"/>
      <c r="O177" s="19"/>
      <c r="P177" s="20"/>
    </row>
    <row r="178" ht="15.75" customHeight="1">
      <c r="A178" s="19"/>
      <c r="B178" s="19"/>
      <c r="C178" s="19"/>
      <c r="D178" s="19"/>
      <c r="E178" s="19"/>
      <c r="F178" s="19"/>
      <c r="G178" s="19"/>
      <c r="H178" s="19"/>
      <c r="I178" s="19"/>
      <c r="J178" s="19"/>
      <c r="K178" s="19"/>
      <c r="L178" s="19"/>
      <c r="M178" s="19"/>
      <c r="N178" s="19"/>
      <c r="O178" s="19"/>
      <c r="P178" s="20"/>
    </row>
    <row r="179" ht="15.75" customHeight="1">
      <c r="A179" s="19"/>
      <c r="B179" s="19"/>
      <c r="C179" s="19"/>
      <c r="D179" s="19"/>
      <c r="E179" s="19"/>
      <c r="F179" s="19"/>
      <c r="G179" s="19"/>
      <c r="H179" s="19"/>
      <c r="I179" s="19"/>
      <c r="J179" s="19"/>
      <c r="K179" s="19"/>
      <c r="L179" s="19"/>
      <c r="M179" s="19"/>
      <c r="N179" s="19"/>
      <c r="O179" s="19"/>
      <c r="P179" s="20"/>
    </row>
    <row r="180" ht="15.75" customHeight="1">
      <c r="A180" s="19"/>
      <c r="B180" s="19"/>
      <c r="C180" s="19"/>
      <c r="D180" s="19"/>
      <c r="E180" s="19"/>
      <c r="F180" s="19"/>
      <c r="G180" s="19"/>
      <c r="H180" s="19"/>
      <c r="I180" s="19"/>
      <c r="J180" s="19"/>
      <c r="K180" s="19"/>
      <c r="L180" s="19"/>
      <c r="M180" s="19"/>
      <c r="N180" s="19"/>
      <c r="O180" s="19"/>
      <c r="P180" s="20"/>
    </row>
    <row r="181" ht="15.75" customHeight="1">
      <c r="A181" s="19"/>
      <c r="B181" s="19"/>
      <c r="C181" s="19"/>
      <c r="D181" s="19"/>
      <c r="E181" s="19"/>
      <c r="F181" s="19"/>
      <c r="G181" s="19"/>
      <c r="H181" s="19"/>
      <c r="I181" s="19"/>
      <c r="J181" s="19"/>
      <c r="K181" s="19"/>
      <c r="L181" s="19"/>
      <c r="M181" s="19"/>
      <c r="N181" s="19"/>
      <c r="O181" s="19"/>
      <c r="P181" s="20"/>
    </row>
    <row r="182" ht="15.75" customHeight="1">
      <c r="A182" s="19"/>
      <c r="B182" s="19"/>
      <c r="C182" s="19"/>
      <c r="D182" s="19"/>
      <c r="E182" s="19"/>
      <c r="F182" s="19"/>
      <c r="G182" s="19"/>
      <c r="H182" s="19"/>
      <c r="I182" s="19"/>
      <c r="J182" s="19"/>
      <c r="K182" s="19"/>
      <c r="L182" s="19"/>
      <c r="M182" s="19"/>
      <c r="N182" s="19"/>
      <c r="O182" s="19"/>
      <c r="P182" s="20"/>
    </row>
    <row r="183" ht="15.75" customHeight="1">
      <c r="A183" s="19"/>
      <c r="B183" s="19"/>
      <c r="C183" s="19"/>
      <c r="D183" s="19"/>
      <c r="E183" s="19"/>
      <c r="F183" s="19"/>
      <c r="G183" s="19"/>
      <c r="H183" s="19"/>
      <c r="I183" s="19"/>
      <c r="J183" s="19"/>
      <c r="K183" s="19"/>
      <c r="L183" s="19"/>
      <c r="M183" s="19"/>
      <c r="N183" s="19"/>
      <c r="O183" s="19"/>
      <c r="P183" s="20"/>
    </row>
    <row r="184" ht="15.75" customHeight="1">
      <c r="A184" s="19"/>
      <c r="B184" s="19"/>
      <c r="C184" s="19"/>
      <c r="D184" s="19"/>
      <c r="E184" s="19"/>
      <c r="F184" s="19"/>
      <c r="G184" s="19"/>
      <c r="H184" s="19"/>
      <c r="I184" s="19"/>
      <c r="J184" s="19"/>
      <c r="K184" s="19"/>
      <c r="L184" s="19"/>
      <c r="M184" s="19"/>
      <c r="N184" s="19"/>
      <c r="O184" s="19"/>
      <c r="P184" s="20"/>
    </row>
    <row r="185" ht="15.75" customHeight="1">
      <c r="A185" s="19"/>
      <c r="B185" s="19"/>
      <c r="C185" s="19"/>
      <c r="D185" s="19"/>
      <c r="E185" s="19"/>
      <c r="F185" s="19"/>
      <c r="G185" s="19"/>
      <c r="H185" s="19"/>
      <c r="I185" s="19"/>
      <c r="J185" s="19"/>
      <c r="K185" s="19"/>
      <c r="L185" s="19"/>
      <c r="M185" s="19"/>
      <c r="N185" s="19"/>
      <c r="O185" s="19"/>
      <c r="P185" s="20"/>
    </row>
    <row r="186" ht="15.75" customHeight="1">
      <c r="A186" s="19"/>
      <c r="B186" s="19"/>
      <c r="C186" s="19"/>
      <c r="D186" s="19"/>
      <c r="E186" s="19"/>
      <c r="F186" s="19"/>
      <c r="G186" s="19"/>
      <c r="H186" s="19"/>
      <c r="I186" s="19"/>
      <c r="J186" s="19"/>
      <c r="K186" s="19"/>
      <c r="L186" s="19"/>
      <c r="M186" s="19"/>
      <c r="N186" s="19"/>
      <c r="O186" s="19"/>
      <c r="P186" s="20"/>
    </row>
    <row r="187" ht="15.75" customHeight="1">
      <c r="A187" s="19"/>
      <c r="B187" s="19"/>
      <c r="C187" s="19"/>
      <c r="D187" s="19"/>
      <c r="E187" s="19"/>
      <c r="F187" s="19"/>
      <c r="G187" s="19"/>
      <c r="H187" s="19"/>
      <c r="I187" s="19"/>
      <c r="J187" s="19"/>
      <c r="K187" s="19"/>
      <c r="L187" s="19"/>
      <c r="M187" s="19"/>
      <c r="N187" s="19"/>
      <c r="O187" s="19"/>
      <c r="P187" s="20"/>
    </row>
    <row r="188" ht="15.75" customHeight="1">
      <c r="A188" s="19"/>
      <c r="B188" s="19"/>
      <c r="C188" s="19"/>
      <c r="D188" s="19"/>
      <c r="E188" s="19"/>
      <c r="F188" s="19"/>
      <c r="G188" s="19"/>
      <c r="H188" s="19"/>
      <c r="I188" s="19"/>
      <c r="J188" s="19"/>
      <c r="K188" s="19"/>
      <c r="L188" s="19"/>
      <c r="M188" s="19"/>
      <c r="N188" s="19"/>
      <c r="O188" s="19"/>
      <c r="P188" s="20"/>
    </row>
    <row r="189" ht="15.75" customHeight="1">
      <c r="A189" s="19"/>
      <c r="B189" s="19"/>
      <c r="C189" s="19"/>
      <c r="D189" s="19"/>
      <c r="E189" s="19"/>
      <c r="F189" s="19"/>
      <c r="G189" s="19"/>
      <c r="H189" s="19"/>
      <c r="I189" s="19"/>
      <c r="J189" s="19"/>
      <c r="K189" s="19"/>
      <c r="L189" s="19"/>
      <c r="M189" s="19"/>
      <c r="N189" s="19"/>
      <c r="O189" s="19"/>
      <c r="P189" s="20"/>
    </row>
    <row r="190" ht="15.75" customHeight="1">
      <c r="A190" s="19"/>
      <c r="B190" s="19"/>
      <c r="C190" s="19"/>
      <c r="D190" s="19"/>
      <c r="E190" s="19"/>
      <c r="F190" s="19"/>
      <c r="G190" s="19"/>
      <c r="H190" s="19"/>
      <c r="I190" s="19"/>
      <c r="J190" s="19"/>
      <c r="K190" s="19"/>
      <c r="L190" s="19"/>
      <c r="M190" s="19"/>
      <c r="N190" s="19"/>
      <c r="O190" s="19"/>
      <c r="P190" s="20"/>
    </row>
    <row r="191" ht="15.75" customHeight="1">
      <c r="A191" s="19"/>
      <c r="B191" s="19"/>
      <c r="C191" s="19"/>
      <c r="D191" s="19"/>
      <c r="E191" s="19"/>
      <c r="F191" s="19"/>
      <c r="G191" s="19"/>
      <c r="H191" s="19"/>
      <c r="I191" s="19"/>
      <c r="J191" s="19"/>
      <c r="K191" s="19"/>
      <c r="L191" s="19"/>
      <c r="M191" s="19"/>
      <c r="N191" s="19"/>
      <c r="O191" s="19"/>
      <c r="P191" s="20"/>
    </row>
    <row r="192" ht="15.75" customHeight="1">
      <c r="A192" s="19"/>
      <c r="B192" s="19"/>
      <c r="C192" s="19"/>
      <c r="D192" s="19"/>
      <c r="E192" s="19"/>
      <c r="F192" s="19"/>
      <c r="G192" s="19"/>
      <c r="H192" s="19"/>
      <c r="I192" s="19"/>
      <c r="J192" s="19"/>
      <c r="K192" s="19"/>
      <c r="L192" s="19"/>
      <c r="M192" s="19"/>
      <c r="N192" s="19"/>
      <c r="O192" s="19"/>
      <c r="P192" s="20"/>
    </row>
    <row r="193" ht="15.75" customHeight="1">
      <c r="A193" s="19"/>
      <c r="B193" s="19"/>
      <c r="C193" s="19"/>
      <c r="D193" s="19"/>
      <c r="E193" s="19"/>
      <c r="F193" s="19"/>
      <c r="G193" s="19"/>
      <c r="H193" s="19"/>
      <c r="I193" s="19"/>
      <c r="J193" s="19"/>
      <c r="K193" s="19"/>
      <c r="L193" s="19"/>
      <c r="M193" s="19"/>
      <c r="N193" s="19"/>
      <c r="O193" s="19"/>
      <c r="P193" s="20"/>
    </row>
    <row r="194" ht="15.75" customHeight="1">
      <c r="A194" s="19"/>
      <c r="B194" s="19"/>
      <c r="C194" s="19"/>
      <c r="D194" s="19"/>
      <c r="E194" s="19"/>
      <c r="F194" s="19"/>
      <c r="G194" s="19"/>
      <c r="H194" s="19"/>
      <c r="I194" s="19"/>
      <c r="J194" s="19"/>
      <c r="K194" s="19"/>
      <c r="L194" s="19"/>
      <c r="M194" s="19"/>
      <c r="N194" s="19"/>
      <c r="O194" s="19"/>
      <c r="P194" s="20"/>
    </row>
    <row r="195" ht="15.75" customHeight="1">
      <c r="A195" s="19"/>
      <c r="B195" s="19"/>
      <c r="C195" s="19"/>
      <c r="D195" s="19"/>
      <c r="E195" s="19"/>
      <c r="F195" s="19"/>
      <c r="G195" s="19"/>
      <c r="H195" s="19"/>
      <c r="I195" s="19"/>
      <c r="J195" s="19"/>
      <c r="K195" s="19"/>
      <c r="L195" s="19"/>
      <c r="M195" s="19"/>
      <c r="N195" s="19"/>
      <c r="O195" s="19"/>
      <c r="P195" s="20"/>
    </row>
    <row r="196" ht="15.75" customHeight="1">
      <c r="A196" s="19"/>
      <c r="B196" s="19"/>
      <c r="C196" s="19"/>
      <c r="D196" s="19"/>
      <c r="E196" s="19"/>
      <c r="F196" s="19"/>
      <c r="G196" s="19"/>
      <c r="H196" s="19"/>
      <c r="I196" s="19"/>
      <c r="J196" s="19"/>
      <c r="K196" s="19"/>
      <c r="L196" s="19"/>
      <c r="M196" s="19"/>
      <c r="N196" s="19"/>
      <c r="O196" s="19"/>
      <c r="P196" s="20"/>
    </row>
    <row r="197" ht="15.75" customHeight="1">
      <c r="A197" s="19"/>
      <c r="B197" s="19"/>
      <c r="C197" s="19"/>
      <c r="D197" s="19"/>
      <c r="E197" s="19"/>
      <c r="F197" s="19"/>
      <c r="G197" s="19"/>
      <c r="H197" s="19"/>
      <c r="I197" s="19"/>
      <c r="J197" s="19"/>
      <c r="K197" s="19"/>
      <c r="L197" s="19"/>
      <c r="M197" s="19"/>
      <c r="N197" s="19"/>
      <c r="O197" s="19"/>
      <c r="P197" s="20"/>
    </row>
    <row r="198" ht="15.75" customHeight="1">
      <c r="A198" s="19"/>
      <c r="B198" s="19"/>
      <c r="C198" s="19"/>
      <c r="D198" s="19"/>
      <c r="E198" s="19"/>
      <c r="F198" s="19"/>
      <c r="G198" s="19"/>
      <c r="H198" s="19"/>
      <c r="I198" s="19"/>
      <c r="J198" s="19"/>
      <c r="K198" s="19"/>
      <c r="L198" s="19"/>
      <c r="M198" s="19"/>
      <c r="N198" s="19"/>
      <c r="O198" s="19"/>
      <c r="P198" s="20"/>
    </row>
    <row r="199" ht="15.75" customHeight="1">
      <c r="A199" s="19"/>
      <c r="B199" s="19"/>
      <c r="C199" s="19"/>
      <c r="D199" s="19"/>
      <c r="E199" s="19"/>
      <c r="F199" s="19"/>
      <c r="G199" s="19"/>
      <c r="H199" s="19"/>
      <c r="I199" s="19"/>
      <c r="J199" s="19"/>
      <c r="K199" s="19"/>
      <c r="L199" s="19"/>
      <c r="M199" s="19"/>
      <c r="N199" s="19"/>
      <c r="O199" s="19"/>
      <c r="P199" s="20"/>
    </row>
    <row r="200" ht="15.75" customHeight="1">
      <c r="A200" s="19"/>
      <c r="B200" s="19"/>
      <c r="C200" s="19"/>
      <c r="D200" s="19"/>
      <c r="E200" s="19"/>
      <c r="F200" s="19"/>
      <c r="G200" s="19"/>
      <c r="H200" s="19"/>
      <c r="I200" s="19"/>
      <c r="J200" s="19"/>
      <c r="K200" s="19"/>
      <c r="L200" s="19"/>
      <c r="M200" s="19"/>
      <c r="N200" s="19"/>
      <c r="O200" s="19"/>
      <c r="P200" s="20"/>
    </row>
    <row r="201" ht="15.75" customHeight="1">
      <c r="A201" s="19"/>
      <c r="B201" s="19"/>
      <c r="C201" s="19"/>
      <c r="D201" s="19"/>
      <c r="E201" s="19"/>
      <c r="F201" s="19"/>
      <c r="G201" s="19"/>
      <c r="H201" s="19"/>
      <c r="I201" s="19"/>
      <c r="J201" s="19"/>
      <c r="K201" s="19"/>
      <c r="L201" s="19"/>
      <c r="M201" s="19"/>
      <c r="N201" s="19"/>
      <c r="O201" s="19"/>
      <c r="P201" s="20"/>
    </row>
    <row r="202" ht="15.75" customHeight="1">
      <c r="A202" s="19"/>
      <c r="B202" s="19"/>
      <c r="C202" s="19"/>
      <c r="D202" s="19"/>
      <c r="E202" s="19"/>
      <c r="F202" s="19"/>
      <c r="G202" s="19"/>
      <c r="H202" s="19"/>
      <c r="I202" s="19"/>
      <c r="J202" s="19"/>
      <c r="K202" s="19"/>
      <c r="L202" s="19"/>
      <c r="M202" s="19"/>
      <c r="N202" s="19"/>
      <c r="O202" s="19"/>
      <c r="P202" s="20"/>
    </row>
    <row r="203" ht="15.75" customHeight="1">
      <c r="A203" s="19"/>
      <c r="B203" s="19"/>
      <c r="C203" s="19"/>
      <c r="D203" s="19"/>
      <c r="E203" s="19"/>
      <c r="F203" s="19"/>
      <c r="G203" s="19"/>
      <c r="H203" s="19"/>
      <c r="I203" s="19"/>
      <c r="J203" s="19"/>
      <c r="K203" s="19"/>
      <c r="L203" s="19"/>
      <c r="M203" s="19"/>
      <c r="N203" s="19"/>
      <c r="O203" s="19"/>
      <c r="P203" s="20"/>
    </row>
    <row r="204" ht="15.75" customHeight="1">
      <c r="A204" s="19"/>
      <c r="B204" s="19"/>
      <c r="C204" s="19"/>
      <c r="D204" s="19"/>
      <c r="E204" s="19"/>
      <c r="F204" s="19"/>
      <c r="G204" s="19"/>
      <c r="H204" s="19"/>
      <c r="I204" s="19"/>
      <c r="J204" s="19"/>
      <c r="K204" s="19"/>
      <c r="L204" s="19"/>
      <c r="M204" s="19"/>
      <c r="N204" s="19"/>
      <c r="O204" s="19"/>
      <c r="P204" s="20"/>
    </row>
    <row r="205" ht="15.75" customHeight="1">
      <c r="A205" s="19"/>
      <c r="B205" s="19"/>
      <c r="C205" s="19"/>
      <c r="D205" s="19"/>
      <c r="E205" s="19"/>
      <c r="F205" s="19"/>
      <c r="G205" s="19"/>
      <c r="H205" s="19"/>
      <c r="I205" s="19"/>
      <c r="J205" s="19"/>
      <c r="K205" s="19"/>
      <c r="L205" s="19"/>
      <c r="M205" s="19"/>
      <c r="N205" s="19"/>
      <c r="O205" s="19"/>
      <c r="P205" s="20"/>
    </row>
    <row r="206" ht="15.75" customHeight="1">
      <c r="A206" s="19"/>
      <c r="B206" s="19"/>
      <c r="C206" s="19"/>
      <c r="D206" s="19"/>
      <c r="E206" s="19"/>
      <c r="F206" s="19"/>
      <c r="G206" s="19"/>
      <c r="H206" s="19"/>
      <c r="I206" s="19"/>
      <c r="J206" s="19"/>
      <c r="K206" s="19"/>
      <c r="L206" s="19"/>
      <c r="M206" s="19"/>
      <c r="N206" s="19"/>
      <c r="O206" s="19"/>
      <c r="P206" s="20"/>
    </row>
    <row r="207" ht="15.75" customHeight="1">
      <c r="A207" s="19"/>
      <c r="B207" s="19"/>
      <c r="C207" s="19"/>
      <c r="D207" s="19"/>
      <c r="E207" s="19"/>
      <c r="F207" s="19"/>
      <c r="G207" s="19"/>
      <c r="H207" s="19"/>
      <c r="I207" s="19"/>
      <c r="J207" s="19"/>
      <c r="K207" s="19"/>
      <c r="L207" s="19"/>
      <c r="M207" s="19"/>
      <c r="N207" s="19"/>
      <c r="O207" s="19"/>
      <c r="P207" s="20"/>
    </row>
    <row r="208" ht="15.75" customHeight="1">
      <c r="A208" s="19"/>
      <c r="B208" s="19"/>
      <c r="C208" s="19"/>
      <c r="D208" s="19"/>
      <c r="E208" s="19"/>
      <c r="F208" s="19"/>
      <c r="G208" s="19"/>
      <c r="H208" s="19"/>
      <c r="I208" s="19"/>
      <c r="J208" s="19"/>
      <c r="K208" s="19"/>
      <c r="L208" s="19"/>
      <c r="M208" s="19"/>
      <c r="N208" s="19"/>
      <c r="O208" s="19"/>
      <c r="P208" s="20"/>
    </row>
    <row r="209" ht="15.75" customHeight="1">
      <c r="A209" s="19"/>
      <c r="B209" s="19"/>
      <c r="C209" s="19"/>
      <c r="D209" s="19"/>
      <c r="E209" s="19"/>
      <c r="F209" s="19"/>
      <c r="G209" s="19"/>
      <c r="H209" s="19"/>
      <c r="I209" s="19"/>
      <c r="J209" s="19"/>
      <c r="K209" s="19"/>
      <c r="L209" s="19"/>
      <c r="M209" s="19"/>
      <c r="N209" s="19"/>
      <c r="O209" s="19"/>
      <c r="P209" s="20"/>
    </row>
    <row r="210" ht="15.75" customHeight="1">
      <c r="A210" s="19"/>
      <c r="B210" s="19"/>
      <c r="C210" s="19"/>
      <c r="D210" s="19"/>
      <c r="E210" s="19"/>
      <c r="F210" s="19"/>
      <c r="G210" s="19"/>
      <c r="H210" s="19"/>
      <c r="I210" s="19"/>
      <c r="J210" s="19"/>
      <c r="K210" s="19"/>
      <c r="L210" s="19"/>
      <c r="M210" s="19"/>
      <c r="N210" s="19"/>
      <c r="O210" s="19"/>
      <c r="P210" s="20"/>
    </row>
    <row r="211" ht="15.75" customHeight="1">
      <c r="A211" s="19"/>
      <c r="B211" s="19"/>
      <c r="C211" s="19"/>
      <c r="D211" s="19"/>
      <c r="E211" s="19"/>
      <c r="F211" s="19"/>
      <c r="G211" s="19"/>
      <c r="H211" s="19"/>
      <c r="I211" s="19"/>
      <c r="J211" s="19"/>
      <c r="K211" s="19"/>
      <c r="L211" s="19"/>
      <c r="M211" s="19"/>
      <c r="N211" s="19"/>
      <c r="O211" s="19"/>
      <c r="P211" s="20"/>
    </row>
    <row r="212" ht="15.75" customHeight="1">
      <c r="A212" s="19"/>
      <c r="B212" s="19"/>
      <c r="C212" s="19"/>
      <c r="D212" s="19"/>
      <c r="E212" s="19"/>
      <c r="F212" s="19"/>
      <c r="G212" s="19"/>
      <c r="H212" s="19"/>
      <c r="I212" s="19"/>
      <c r="J212" s="19"/>
      <c r="K212" s="19"/>
      <c r="L212" s="19"/>
      <c r="M212" s="19"/>
      <c r="N212" s="19"/>
      <c r="O212" s="19"/>
      <c r="P212" s="20"/>
    </row>
    <row r="213" ht="15.75" customHeight="1">
      <c r="A213" s="19"/>
      <c r="B213" s="19"/>
      <c r="C213" s="19"/>
      <c r="D213" s="19"/>
      <c r="E213" s="19"/>
      <c r="F213" s="19"/>
      <c r="G213" s="19"/>
      <c r="H213" s="19"/>
      <c r="I213" s="19"/>
      <c r="J213" s="19"/>
      <c r="K213" s="19"/>
      <c r="L213" s="19"/>
      <c r="M213" s="19"/>
      <c r="N213" s="19"/>
      <c r="O213" s="19"/>
      <c r="P213" s="20"/>
    </row>
    <row r="214" ht="15.75" customHeight="1">
      <c r="A214" s="19"/>
      <c r="B214" s="19"/>
      <c r="C214" s="19"/>
      <c r="D214" s="19"/>
      <c r="E214" s="19"/>
      <c r="F214" s="19"/>
      <c r="G214" s="19"/>
      <c r="H214" s="19"/>
      <c r="I214" s="19"/>
      <c r="J214" s="19"/>
      <c r="K214" s="19"/>
      <c r="L214" s="19"/>
      <c r="M214" s="19"/>
      <c r="N214" s="19"/>
      <c r="O214" s="19"/>
      <c r="P214" s="20"/>
    </row>
    <row r="215" ht="15.75" customHeight="1">
      <c r="A215" s="19"/>
      <c r="B215" s="19"/>
      <c r="C215" s="19"/>
      <c r="D215" s="19"/>
      <c r="E215" s="19"/>
      <c r="F215" s="19"/>
      <c r="G215" s="19"/>
      <c r="H215" s="19"/>
      <c r="I215" s="19"/>
      <c r="J215" s="19"/>
      <c r="K215" s="19"/>
      <c r="L215" s="19"/>
      <c r="M215" s="19"/>
      <c r="N215" s="19"/>
      <c r="O215" s="19"/>
      <c r="P215" s="20"/>
    </row>
    <row r="216" ht="15.75" customHeight="1">
      <c r="A216" s="19"/>
      <c r="B216" s="19"/>
      <c r="C216" s="19"/>
      <c r="D216" s="19"/>
      <c r="E216" s="19"/>
      <c r="F216" s="19"/>
      <c r="G216" s="19"/>
      <c r="H216" s="19"/>
      <c r="I216" s="19"/>
      <c r="J216" s="19"/>
      <c r="K216" s="19"/>
      <c r="L216" s="19"/>
      <c r="M216" s="19"/>
      <c r="N216" s="19"/>
      <c r="O216" s="19"/>
      <c r="P216" s="20"/>
    </row>
    <row r="217" ht="15.75" customHeight="1">
      <c r="A217" s="19"/>
      <c r="B217" s="19"/>
      <c r="C217" s="19"/>
      <c r="D217" s="19"/>
      <c r="E217" s="19"/>
      <c r="F217" s="19"/>
      <c r="G217" s="19"/>
      <c r="H217" s="19"/>
      <c r="I217" s="19"/>
      <c r="J217" s="19"/>
      <c r="K217" s="19"/>
      <c r="L217" s="19"/>
      <c r="M217" s="19"/>
      <c r="N217" s="19"/>
      <c r="O217" s="19"/>
      <c r="P217" s="20"/>
    </row>
    <row r="218" ht="15.75" customHeight="1">
      <c r="A218" s="19"/>
      <c r="B218" s="19"/>
      <c r="C218" s="19"/>
      <c r="D218" s="19"/>
      <c r="E218" s="19"/>
      <c r="F218" s="19"/>
      <c r="G218" s="19"/>
      <c r="H218" s="19"/>
      <c r="I218" s="19"/>
      <c r="J218" s="19"/>
      <c r="K218" s="19"/>
      <c r="L218" s="19"/>
      <c r="M218" s="19"/>
      <c r="N218" s="19"/>
      <c r="O218" s="19"/>
      <c r="P218" s="20"/>
    </row>
    <row r="219" ht="15.75" customHeight="1">
      <c r="A219" s="19"/>
      <c r="B219" s="19"/>
      <c r="C219" s="19"/>
      <c r="D219" s="19"/>
      <c r="E219" s="19"/>
      <c r="F219" s="19"/>
      <c r="G219" s="19"/>
      <c r="H219" s="19"/>
      <c r="I219" s="19"/>
      <c r="J219" s="19"/>
      <c r="K219" s="19"/>
      <c r="L219" s="19"/>
      <c r="M219" s="19"/>
      <c r="N219" s="19"/>
      <c r="O219" s="19"/>
      <c r="P219" s="20"/>
    </row>
    <row r="220" ht="15.75" customHeight="1">
      <c r="A220" s="19"/>
      <c r="B220" s="19"/>
      <c r="C220" s="19"/>
      <c r="D220" s="19"/>
      <c r="E220" s="19"/>
      <c r="F220" s="19"/>
      <c r="G220" s="19"/>
      <c r="H220" s="19"/>
      <c r="I220" s="19"/>
      <c r="J220" s="19"/>
      <c r="K220" s="19"/>
      <c r="L220" s="19"/>
      <c r="M220" s="19"/>
      <c r="N220" s="19"/>
      <c r="O220" s="19"/>
      <c r="P220" s="20"/>
    </row>
    <row r="221" ht="15.75" customHeight="1">
      <c r="A221" s="19"/>
      <c r="B221" s="19"/>
      <c r="C221" s="19"/>
      <c r="D221" s="19"/>
      <c r="E221" s="19"/>
      <c r="F221" s="19"/>
      <c r="G221" s="19"/>
      <c r="H221" s="19"/>
      <c r="I221" s="19"/>
      <c r="J221" s="19"/>
      <c r="K221" s="19"/>
      <c r="L221" s="19"/>
      <c r="M221" s="19"/>
      <c r="N221" s="19"/>
      <c r="O221" s="19"/>
      <c r="P221" s="20"/>
    </row>
    <row r="222" ht="15.75" customHeight="1">
      <c r="A222" s="19"/>
      <c r="B222" s="19"/>
      <c r="C222" s="19"/>
      <c r="D222" s="19"/>
      <c r="E222" s="19"/>
      <c r="F222" s="19"/>
      <c r="G222" s="19"/>
      <c r="H222" s="19"/>
      <c r="I222" s="19"/>
      <c r="J222" s="19"/>
      <c r="K222" s="19"/>
      <c r="L222" s="19"/>
      <c r="M222" s="19"/>
      <c r="N222" s="19"/>
      <c r="O222" s="19"/>
      <c r="P222" s="20"/>
    </row>
    <row r="223" ht="15.75" customHeight="1">
      <c r="A223" s="19"/>
      <c r="B223" s="19"/>
      <c r="C223" s="19"/>
      <c r="D223" s="19"/>
      <c r="E223" s="19"/>
      <c r="F223" s="19"/>
      <c r="G223" s="19"/>
      <c r="H223" s="19"/>
      <c r="I223" s="19"/>
      <c r="J223" s="19"/>
      <c r="K223" s="19"/>
      <c r="L223" s="19"/>
      <c r="M223" s="19"/>
      <c r="N223" s="19"/>
      <c r="O223" s="19"/>
      <c r="P223" s="20"/>
    </row>
    <row r="224" ht="15.75" customHeight="1">
      <c r="A224" s="19"/>
      <c r="B224" s="19"/>
      <c r="C224" s="19"/>
      <c r="D224" s="19"/>
      <c r="E224" s="19"/>
      <c r="F224" s="19"/>
      <c r="G224" s="19"/>
      <c r="H224" s="19"/>
      <c r="I224" s="19"/>
      <c r="J224" s="19"/>
      <c r="K224" s="19"/>
      <c r="L224" s="19"/>
      <c r="M224" s="19"/>
      <c r="N224" s="19"/>
      <c r="O224" s="19"/>
      <c r="P224" s="20"/>
    </row>
    <row r="225" ht="15.75" customHeight="1">
      <c r="A225" s="19"/>
      <c r="B225" s="19"/>
      <c r="C225" s="19"/>
      <c r="D225" s="19"/>
      <c r="E225" s="19"/>
      <c r="F225" s="19"/>
      <c r="G225" s="19"/>
      <c r="H225" s="19"/>
      <c r="I225" s="19"/>
      <c r="J225" s="19"/>
      <c r="K225" s="19"/>
      <c r="L225" s="19"/>
      <c r="M225" s="19"/>
      <c r="N225" s="19"/>
      <c r="O225" s="19"/>
      <c r="P225" s="20"/>
    </row>
    <row r="226" ht="15.75" customHeight="1">
      <c r="A226" s="19"/>
      <c r="B226" s="19"/>
      <c r="C226" s="19"/>
      <c r="D226" s="19"/>
      <c r="E226" s="19"/>
      <c r="F226" s="19"/>
      <c r="G226" s="19"/>
      <c r="H226" s="19"/>
      <c r="I226" s="19"/>
      <c r="J226" s="19"/>
      <c r="K226" s="19"/>
      <c r="L226" s="19"/>
      <c r="M226" s="19"/>
      <c r="N226" s="19"/>
      <c r="O226" s="19"/>
      <c r="P226" s="20"/>
    </row>
    <row r="227" ht="15.75" customHeight="1">
      <c r="A227" s="19"/>
      <c r="B227" s="19"/>
      <c r="C227" s="19"/>
      <c r="D227" s="19"/>
      <c r="E227" s="19"/>
      <c r="F227" s="19"/>
      <c r="G227" s="19"/>
      <c r="H227" s="19"/>
      <c r="I227" s="19"/>
      <c r="J227" s="19"/>
      <c r="K227" s="19"/>
      <c r="L227" s="19"/>
      <c r="M227" s="19"/>
      <c r="N227" s="19"/>
      <c r="O227" s="19"/>
      <c r="P227" s="20"/>
    </row>
    <row r="228" ht="15.75" customHeight="1">
      <c r="A228" s="19"/>
      <c r="B228" s="19"/>
      <c r="C228" s="19"/>
      <c r="D228" s="19"/>
      <c r="E228" s="19"/>
      <c r="F228" s="19"/>
      <c r="G228" s="19"/>
      <c r="H228" s="19"/>
      <c r="I228" s="19"/>
      <c r="J228" s="19"/>
      <c r="K228" s="19"/>
      <c r="L228" s="19"/>
      <c r="M228" s="19"/>
      <c r="N228" s="19"/>
      <c r="O228" s="19"/>
      <c r="P228" s="20"/>
    </row>
    <row r="229" ht="15.75" customHeight="1">
      <c r="A229" s="19"/>
      <c r="B229" s="19"/>
      <c r="C229" s="19"/>
      <c r="D229" s="19"/>
      <c r="E229" s="19"/>
      <c r="F229" s="19"/>
      <c r="G229" s="19"/>
      <c r="H229" s="19"/>
      <c r="I229" s="19"/>
      <c r="J229" s="19"/>
      <c r="K229" s="19"/>
      <c r="L229" s="19"/>
      <c r="M229" s="19"/>
      <c r="N229" s="19"/>
      <c r="O229" s="19"/>
      <c r="P229" s="20"/>
    </row>
    <row r="230" ht="15.75" customHeight="1">
      <c r="A230" s="19"/>
      <c r="B230" s="19"/>
      <c r="C230" s="19"/>
      <c r="D230" s="19"/>
      <c r="E230" s="19"/>
      <c r="F230" s="19"/>
      <c r="G230" s="19"/>
      <c r="H230" s="19"/>
      <c r="I230" s="19"/>
      <c r="J230" s="19"/>
      <c r="K230" s="19"/>
      <c r="L230" s="19"/>
      <c r="M230" s="19"/>
      <c r="N230" s="19"/>
      <c r="O230" s="19"/>
      <c r="P230" s="20"/>
    </row>
    <row r="231" ht="15.75" customHeight="1">
      <c r="A231" s="19"/>
      <c r="B231" s="19"/>
      <c r="C231" s="19"/>
      <c r="D231" s="19"/>
      <c r="E231" s="19"/>
      <c r="F231" s="19"/>
      <c r="G231" s="19"/>
      <c r="H231" s="19"/>
      <c r="I231" s="19"/>
      <c r="J231" s="19"/>
      <c r="K231" s="19"/>
      <c r="L231" s="19"/>
      <c r="M231" s="19"/>
      <c r="N231" s="19"/>
      <c r="O231" s="19"/>
      <c r="P231" s="20"/>
    </row>
    <row r="232" ht="15.75" customHeight="1">
      <c r="A232" s="19"/>
      <c r="B232" s="19"/>
      <c r="C232" s="19"/>
      <c r="D232" s="19"/>
      <c r="E232" s="19"/>
      <c r="F232" s="19"/>
      <c r="G232" s="19"/>
      <c r="H232" s="19"/>
      <c r="I232" s="19"/>
      <c r="J232" s="19"/>
      <c r="K232" s="19"/>
      <c r="L232" s="19"/>
      <c r="M232" s="19"/>
      <c r="N232" s="19"/>
      <c r="O232" s="19"/>
      <c r="P232" s="20"/>
    </row>
    <row r="233" ht="15.75" customHeight="1">
      <c r="A233" s="19"/>
      <c r="B233" s="19"/>
      <c r="C233" s="19"/>
      <c r="D233" s="19"/>
      <c r="E233" s="19"/>
      <c r="F233" s="19"/>
      <c r="G233" s="19"/>
      <c r="H233" s="19"/>
      <c r="I233" s="19"/>
      <c r="J233" s="19"/>
      <c r="K233" s="19"/>
      <c r="L233" s="19"/>
      <c r="M233" s="19"/>
      <c r="N233" s="19"/>
      <c r="O233" s="19"/>
      <c r="P233" s="20"/>
    </row>
    <row r="234" ht="15.75" customHeight="1">
      <c r="A234" s="19"/>
      <c r="B234" s="19"/>
      <c r="C234" s="19"/>
      <c r="D234" s="19"/>
      <c r="E234" s="19"/>
      <c r="F234" s="19"/>
      <c r="G234" s="19"/>
      <c r="H234" s="19"/>
      <c r="I234" s="19"/>
      <c r="J234" s="19"/>
      <c r="K234" s="19"/>
      <c r="L234" s="19"/>
      <c r="M234" s="19"/>
      <c r="N234" s="19"/>
      <c r="O234" s="19"/>
      <c r="P234" s="20"/>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Nivel inválido - Selecciona un nivel de la Taxonomía de Bloom." sqref="H13 H15 H17 H19 H21 H23 H25 H27">
      <formula1>"Crear,Evaluar,Analizar,Aplicar,Comprender,Recordar"</formula1>
    </dataValidation>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Competencia inválida - Selecciona una competencia de la lista." sqref="G8:G10">
      <formula1>Competencias_2S_2026!$R$1:$R$7</formula1>
    </dataValidation>
  </dataValidations>
  <hyperlinks>
    <hyperlink r:id="rId1" ref="B34"/>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s>
  <sheetData>
    <row r="1">
      <c r="B1" s="55" t="s">
        <v>70</v>
      </c>
    </row>
    <row r="3">
      <c r="B3" s="56" t="s">
        <v>71</v>
      </c>
      <c r="C3" s="56" t="s">
        <v>72</v>
      </c>
      <c r="D3" s="56" t="s">
        <v>73</v>
      </c>
      <c r="E3" s="56" t="s">
        <v>74</v>
      </c>
      <c r="F3" s="56" t="s">
        <v>75</v>
      </c>
      <c r="G3" s="56" t="s">
        <v>76</v>
      </c>
    </row>
    <row r="4">
      <c r="B4" s="57" t="s">
        <v>77</v>
      </c>
      <c r="C4" s="57" t="s">
        <v>78</v>
      </c>
      <c r="D4" s="57" t="s">
        <v>79</v>
      </c>
      <c r="E4" s="58" t="s">
        <v>80</v>
      </c>
      <c r="F4" s="58">
        <v>2.0</v>
      </c>
      <c r="G4" s="58" t="s">
        <v>81</v>
      </c>
    </row>
    <row r="5">
      <c r="B5" s="57" t="s">
        <v>77</v>
      </c>
      <c r="C5" s="57" t="s">
        <v>82</v>
      </c>
      <c r="D5" s="57" t="s">
        <v>83</v>
      </c>
      <c r="E5" s="58" t="s">
        <v>84</v>
      </c>
      <c r="F5" s="58">
        <v>3.0</v>
      </c>
      <c r="G5" s="58" t="s">
        <v>85</v>
      </c>
    </row>
    <row r="6">
      <c r="B6" s="57" t="s">
        <v>86</v>
      </c>
      <c r="C6" s="57" t="s">
        <v>87</v>
      </c>
      <c r="D6" s="57" t="s">
        <v>88</v>
      </c>
      <c r="E6" s="58" t="s">
        <v>84</v>
      </c>
      <c r="F6" s="58">
        <v>4.0</v>
      </c>
      <c r="G6" s="58" t="s">
        <v>81</v>
      </c>
    </row>
    <row r="7">
      <c r="B7" s="57" t="s">
        <v>86</v>
      </c>
      <c r="C7" s="57" t="s">
        <v>89</v>
      </c>
      <c r="D7" s="57" t="s">
        <v>90</v>
      </c>
      <c r="E7" s="58" t="s">
        <v>84</v>
      </c>
      <c r="F7" s="58">
        <v>5.0</v>
      </c>
      <c r="G7" s="58" t="s">
        <v>81</v>
      </c>
    </row>
    <row r="8">
      <c r="B8" s="57" t="s">
        <v>91</v>
      </c>
      <c r="C8" s="57" t="s">
        <v>92</v>
      </c>
      <c r="D8" s="57" t="s">
        <v>93</v>
      </c>
      <c r="E8" s="58" t="s">
        <v>94</v>
      </c>
      <c r="F8" s="58">
        <v>6.0</v>
      </c>
      <c r="G8" s="58" t="s">
        <v>81</v>
      </c>
    </row>
    <row r="9">
      <c r="B9" s="57" t="s">
        <v>95</v>
      </c>
      <c r="C9" s="57" t="s">
        <v>96</v>
      </c>
      <c r="D9" s="57" t="s">
        <v>97</v>
      </c>
      <c r="E9" s="58" t="s">
        <v>94</v>
      </c>
      <c r="F9" s="58">
        <v>7.0</v>
      </c>
      <c r="G9" s="58" t="s">
        <v>81</v>
      </c>
    </row>
    <row r="10">
      <c r="B10" s="57" t="s">
        <v>98</v>
      </c>
      <c r="C10" s="57" t="s">
        <v>99</v>
      </c>
      <c r="D10" s="57" t="s">
        <v>100</v>
      </c>
      <c r="E10" s="58" t="s">
        <v>94</v>
      </c>
      <c r="F10" s="58">
        <v>8.0</v>
      </c>
      <c r="G10" s="58" t="s">
        <v>101</v>
      </c>
    </row>
    <row r="11">
      <c r="B11" s="57" t="s">
        <v>95</v>
      </c>
      <c r="C11" s="57" t="s">
        <v>102</v>
      </c>
      <c r="D11" s="57" t="s">
        <v>103</v>
      </c>
      <c r="E11" s="58" t="s">
        <v>104</v>
      </c>
      <c r="F11" s="58">
        <v>9.0</v>
      </c>
      <c r="G11" s="58" t="s">
        <v>105</v>
      </c>
    </row>
    <row r="12">
      <c r="B12" s="57" t="s">
        <v>106</v>
      </c>
      <c r="C12" s="57" t="s">
        <v>107</v>
      </c>
      <c r="D12" s="57" t="s">
        <v>108</v>
      </c>
      <c r="E12" s="58" t="s">
        <v>104</v>
      </c>
      <c r="F12" s="58">
        <v>10.0</v>
      </c>
      <c r="G12" s="58" t="s">
        <v>109</v>
      </c>
    </row>
    <row r="13">
      <c r="B13" s="57" t="s">
        <v>110</v>
      </c>
      <c r="C13" s="57" t="s">
        <v>111</v>
      </c>
      <c r="D13" s="57" t="s">
        <v>112</v>
      </c>
      <c r="E13" s="58" t="s">
        <v>113</v>
      </c>
      <c r="F13" s="58">
        <v>11.0</v>
      </c>
      <c r="G13" s="58" t="s">
        <v>85</v>
      </c>
    </row>
    <row r="14" ht="21.75" customHeight="1">
      <c r="B14" s="58"/>
      <c r="C14" s="58"/>
      <c r="D14" s="58"/>
      <c r="E14" s="58"/>
      <c r="F14" s="58"/>
      <c r="G14" s="58"/>
    </row>
    <row r="15" ht="21.75" customHeight="1">
      <c r="B15" s="58"/>
      <c r="C15" s="58"/>
      <c r="D15" s="58"/>
      <c r="E15" s="58"/>
      <c r="F15" s="58"/>
      <c r="G15" s="58"/>
    </row>
    <row r="16" ht="21.75" customHeight="1">
      <c r="B16" s="58"/>
      <c r="C16" s="58"/>
      <c r="D16" s="58"/>
      <c r="E16" s="58"/>
      <c r="F16" s="58"/>
      <c r="G16" s="58"/>
    </row>
    <row r="17" ht="21.75" customHeight="1">
      <c r="B17" s="58"/>
      <c r="C17" s="58"/>
      <c r="D17" s="58"/>
      <c r="E17" s="58"/>
      <c r="F17" s="58"/>
      <c r="G17" s="58"/>
    </row>
    <row r="18" ht="21.75" customHeight="1">
      <c r="B18" s="58"/>
      <c r="C18" s="58"/>
      <c r="D18" s="58"/>
      <c r="E18" s="58"/>
      <c r="F18" s="58"/>
      <c r="G18" s="58"/>
    </row>
    <row r="19" ht="21.75" customHeight="1">
      <c r="B19" s="58"/>
      <c r="C19" s="58"/>
      <c r="D19" s="58"/>
      <c r="E19" s="58"/>
      <c r="F19" s="58"/>
      <c r="G19" s="58"/>
    </row>
    <row r="20" ht="21.75" customHeight="1">
      <c r="B20" s="58"/>
      <c r="C20" s="58"/>
      <c r="D20" s="58"/>
      <c r="E20" s="58"/>
      <c r="F20" s="58"/>
      <c r="G20" s="58"/>
    </row>
    <row r="21" ht="21.75" customHeight="1">
      <c r="B21" s="58"/>
      <c r="C21" s="58"/>
      <c r="D21" s="58"/>
      <c r="E21" s="58"/>
      <c r="F21" s="58"/>
      <c r="G21" s="58"/>
    </row>
    <row r="22" ht="21.75" customHeight="1">
      <c r="B22" s="58"/>
      <c r="C22" s="58"/>
      <c r="D22" s="58"/>
      <c r="E22" s="58"/>
      <c r="F22" s="58"/>
      <c r="G22" s="58"/>
    </row>
    <row r="23" ht="21.75" customHeight="1">
      <c r="B23" s="58"/>
      <c r="C23" s="58"/>
      <c r="D23" s="58"/>
      <c r="E23" s="58"/>
      <c r="F23" s="58"/>
      <c r="G23" s="58"/>
    </row>
    <row r="24" ht="21.75" customHeight="1">
      <c r="B24" s="58"/>
      <c r="C24" s="58"/>
      <c r="D24" s="58"/>
      <c r="E24" s="58"/>
      <c r="F24" s="58"/>
      <c r="G24" s="58"/>
    </row>
    <row r="25" ht="21.75" customHeight="1">
      <c r="B25" s="58"/>
      <c r="C25" s="58"/>
      <c r="D25" s="58"/>
      <c r="E25" s="58"/>
      <c r="F25" s="58"/>
      <c r="G25" s="58"/>
    </row>
    <row r="26" ht="21.75" customHeight="1">
      <c r="B26" s="58"/>
      <c r="C26" s="58"/>
      <c r="D26" s="58"/>
      <c r="E26" s="58"/>
      <c r="F26" s="58"/>
      <c r="G26" s="58"/>
    </row>
    <row r="27" ht="21.75" customHeight="1">
      <c r="B27" s="58"/>
      <c r="C27" s="58"/>
      <c r="D27" s="58"/>
      <c r="E27" s="58"/>
      <c r="F27" s="58"/>
      <c r="G27" s="58"/>
    </row>
    <row r="28" ht="21.75" customHeight="1">
      <c r="B28" s="58"/>
      <c r="C28" s="58"/>
      <c r="D28" s="58"/>
      <c r="E28" s="58"/>
      <c r="F28" s="58"/>
      <c r="G28" s="58"/>
    </row>
    <row r="29" ht="21.75" customHeight="1">
      <c r="B29" s="58"/>
      <c r="C29" s="58"/>
      <c r="D29" s="58"/>
      <c r="E29" s="58"/>
      <c r="F29" s="58"/>
      <c r="G29" s="58"/>
    </row>
    <row r="30" ht="21.75" customHeight="1">
      <c r="B30" s="58"/>
      <c r="C30" s="58"/>
      <c r="D30" s="58"/>
      <c r="E30" s="58"/>
      <c r="F30" s="58"/>
      <c r="G30" s="58"/>
    </row>
    <row r="31" ht="21.75" customHeight="1">
      <c r="B31" s="58"/>
      <c r="C31" s="58"/>
      <c r="D31" s="58"/>
      <c r="E31" s="58"/>
      <c r="F31" s="58"/>
      <c r="G31" s="58"/>
    </row>
    <row r="32" ht="21.75" customHeight="1">
      <c r="B32" s="58"/>
      <c r="C32" s="58"/>
      <c r="D32" s="58"/>
      <c r="E32" s="58"/>
      <c r="F32" s="58"/>
      <c r="G32" s="58"/>
    </row>
    <row r="33" ht="21.75" customHeight="1">
      <c r="B33" s="58"/>
      <c r="C33" s="58"/>
      <c r="D33" s="58"/>
      <c r="E33" s="58"/>
      <c r="F33" s="58"/>
      <c r="G33" s="58"/>
    </row>
    <row r="34" ht="21.75" customHeight="1">
      <c r="B34" s="58"/>
      <c r="C34" s="58"/>
      <c r="D34" s="58"/>
      <c r="E34" s="58"/>
      <c r="F34" s="58"/>
      <c r="G34" s="58"/>
    </row>
    <row r="35" ht="21.75" customHeight="1">
      <c r="B35" s="58"/>
      <c r="C35" s="58"/>
      <c r="D35" s="58"/>
      <c r="E35" s="58"/>
      <c r="F35" s="58"/>
      <c r="G35" s="58"/>
    </row>
    <row r="36" ht="21.75" customHeight="1">
      <c r="B36" s="58"/>
      <c r="C36" s="58"/>
      <c r="D36" s="58"/>
      <c r="E36" s="58"/>
      <c r="F36" s="58"/>
      <c r="G36" s="58"/>
    </row>
    <row r="37" ht="21.75" customHeight="1">
      <c r="B37" s="58"/>
      <c r="C37" s="58"/>
      <c r="D37" s="58"/>
      <c r="E37" s="58"/>
      <c r="F37" s="58"/>
      <c r="G37" s="58"/>
    </row>
    <row r="38" ht="21.75" customHeight="1">
      <c r="B38" s="58"/>
      <c r="C38" s="58"/>
      <c r="D38" s="58"/>
      <c r="E38" s="58"/>
      <c r="F38" s="58"/>
      <c r="G38" s="58"/>
    </row>
    <row r="39" ht="21.75" customHeight="1">
      <c r="B39" s="58"/>
      <c r="C39" s="58"/>
      <c r="D39" s="58"/>
      <c r="E39" s="58"/>
      <c r="F39" s="58"/>
      <c r="G39" s="58"/>
    </row>
    <row r="40" ht="21.75" customHeight="1">
      <c r="B40" s="58"/>
      <c r="C40" s="58"/>
      <c r="D40" s="58"/>
      <c r="E40" s="58"/>
      <c r="F40" s="58"/>
      <c r="G40" s="58"/>
    </row>
    <row r="41" ht="21.75" customHeight="1">
      <c r="B41" s="58"/>
      <c r="C41" s="58"/>
      <c r="D41" s="58"/>
      <c r="E41" s="58"/>
      <c r="F41" s="58"/>
      <c r="G41" s="58"/>
    </row>
    <row r="42" ht="21.75" customHeight="1">
      <c r="B42" s="58"/>
      <c r="C42" s="58"/>
      <c r="D42" s="58"/>
      <c r="E42" s="58"/>
      <c r="F42" s="58"/>
      <c r="G42" s="58"/>
    </row>
    <row r="43" ht="21.75" customHeight="1">
      <c r="B43" s="58"/>
      <c r="C43" s="58"/>
      <c r="D43" s="58"/>
      <c r="E43" s="58"/>
      <c r="F43" s="58"/>
      <c r="G43" s="58"/>
    </row>
    <row r="44" ht="21.75" customHeight="1">
      <c r="B44" s="58"/>
      <c r="C44" s="58"/>
      <c r="D44" s="58"/>
      <c r="E44" s="58"/>
      <c r="F44" s="58"/>
      <c r="G44" s="58"/>
    </row>
    <row r="45" ht="21.75" customHeight="1">
      <c r="B45" s="58"/>
      <c r="C45" s="58"/>
      <c r="D45" s="58"/>
      <c r="E45" s="58"/>
      <c r="F45" s="58"/>
      <c r="G45" s="58"/>
    </row>
    <row r="46" ht="21.75" customHeight="1">
      <c r="B46" s="58"/>
      <c r="C46" s="58"/>
      <c r="D46" s="58"/>
      <c r="E46" s="58"/>
      <c r="F46" s="58"/>
      <c r="G46" s="58"/>
    </row>
    <row r="47" ht="21.75" customHeight="1">
      <c r="B47" s="58"/>
      <c r="C47" s="58"/>
      <c r="D47" s="58"/>
      <c r="E47" s="58"/>
      <c r="F47" s="58"/>
      <c r="G47" s="58"/>
    </row>
    <row r="48" ht="21.75" customHeight="1">
      <c r="B48" s="58"/>
      <c r="C48" s="58"/>
      <c r="D48" s="58"/>
      <c r="E48" s="58"/>
      <c r="F48" s="58"/>
      <c r="G48" s="58"/>
    </row>
    <row r="49" ht="21.75" customHeight="1">
      <c r="B49" s="58"/>
      <c r="C49" s="58"/>
      <c r="D49" s="58"/>
      <c r="E49" s="58"/>
      <c r="F49" s="58"/>
      <c r="G49" s="58"/>
    </row>
    <row r="50" ht="21.75" customHeight="1">
      <c r="B50" s="58"/>
      <c r="C50" s="58"/>
      <c r="D50" s="58"/>
      <c r="E50" s="58"/>
      <c r="F50" s="58"/>
      <c r="G50" s="58"/>
    </row>
    <row r="51" ht="21.75" customHeight="1">
      <c r="B51" s="58"/>
      <c r="C51" s="58"/>
      <c r="D51" s="58"/>
      <c r="E51" s="58"/>
      <c r="F51" s="58"/>
      <c r="G51" s="58"/>
    </row>
    <row r="52" ht="21.75" customHeight="1">
      <c r="B52" s="58"/>
      <c r="C52" s="58"/>
      <c r="D52" s="58"/>
      <c r="E52" s="58"/>
      <c r="F52" s="58"/>
      <c r="G52" s="58"/>
    </row>
    <row r="53" ht="21.75" customHeight="1">
      <c r="B53" s="58"/>
      <c r="C53" s="58"/>
      <c r="D53" s="58"/>
      <c r="E53" s="58"/>
      <c r="F53" s="58"/>
      <c r="G53" s="58"/>
    </row>
    <row r="54" ht="21.75" customHeight="1">
      <c r="B54" s="58"/>
      <c r="C54" s="58"/>
      <c r="D54" s="58"/>
      <c r="E54" s="58"/>
      <c r="F54" s="58"/>
      <c r="G54" s="58"/>
    </row>
    <row r="55" ht="21.75" customHeight="1">
      <c r="B55" s="58"/>
      <c r="C55" s="58"/>
      <c r="D55" s="58"/>
      <c r="E55" s="58"/>
      <c r="F55" s="58"/>
      <c r="G55" s="58"/>
    </row>
    <row r="56" ht="21.75" customHeight="1">
      <c r="B56" s="58"/>
      <c r="C56" s="58"/>
      <c r="D56" s="58"/>
      <c r="E56" s="58"/>
      <c r="F56" s="58"/>
      <c r="G56" s="58"/>
    </row>
    <row r="57" ht="21.75" customHeight="1">
      <c r="B57" s="58"/>
      <c r="C57" s="58"/>
      <c r="D57" s="58"/>
      <c r="E57" s="58"/>
      <c r="F57" s="58"/>
      <c r="G57" s="58"/>
    </row>
    <row r="58" ht="21.75" customHeight="1">
      <c r="B58" s="58"/>
      <c r="C58" s="58"/>
      <c r="D58" s="58"/>
      <c r="E58" s="58"/>
      <c r="F58" s="58"/>
      <c r="G58" s="58"/>
    </row>
    <row r="59" ht="21.75" customHeight="1">
      <c r="B59" s="58"/>
      <c r="C59" s="58"/>
      <c r="D59" s="58"/>
      <c r="E59" s="58"/>
      <c r="F59" s="58"/>
      <c r="G59" s="58"/>
    </row>
    <row r="60" ht="21.75" customHeight="1">
      <c r="B60" s="58"/>
      <c r="C60" s="58"/>
      <c r="D60" s="58"/>
      <c r="E60" s="58"/>
      <c r="F60" s="58"/>
      <c r="G60" s="58"/>
    </row>
    <row r="61" ht="21.75" customHeight="1">
      <c r="B61" s="58"/>
      <c r="C61" s="58"/>
      <c r="D61" s="58"/>
      <c r="E61" s="58"/>
      <c r="F61" s="58"/>
      <c r="G61" s="58"/>
    </row>
    <row r="62" ht="21.75" customHeight="1">
      <c r="B62" s="58"/>
      <c r="C62" s="58"/>
      <c r="D62" s="58"/>
      <c r="E62" s="58"/>
      <c r="F62" s="58"/>
      <c r="G62" s="58"/>
    </row>
    <row r="63" ht="21.75" customHeight="1">
      <c r="B63" s="58"/>
      <c r="C63" s="58"/>
      <c r="D63" s="58"/>
      <c r="E63" s="58"/>
      <c r="F63" s="58"/>
      <c r="G63" s="58"/>
    </row>
    <row r="64" ht="21.75" customHeight="1">
      <c r="B64" s="58"/>
      <c r="C64" s="58"/>
      <c r="D64" s="58"/>
      <c r="E64" s="58"/>
      <c r="F64" s="58"/>
      <c r="G64" s="58"/>
    </row>
    <row r="65" ht="21.75" customHeight="1">
      <c r="B65" s="58"/>
      <c r="C65" s="58"/>
      <c r="D65" s="58"/>
      <c r="E65" s="58"/>
      <c r="F65" s="58"/>
      <c r="G65" s="58"/>
    </row>
    <row r="66" ht="21.75" customHeight="1">
      <c r="B66" s="58"/>
      <c r="C66" s="58"/>
      <c r="D66" s="58"/>
      <c r="E66" s="58"/>
      <c r="F66" s="58"/>
      <c r="G66" s="58"/>
    </row>
    <row r="67" ht="21.75" customHeight="1">
      <c r="B67" s="58"/>
      <c r="C67" s="58"/>
      <c r="D67" s="58"/>
      <c r="E67" s="58"/>
      <c r="F67" s="58"/>
      <c r="G67" s="58"/>
    </row>
    <row r="68" ht="21.75" customHeight="1">
      <c r="B68" s="58"/>
      <c r="C68" s="58"/>
      <c r="D68" s="58"/>
      <c r="E68" s="58"/>
      <c r="F68" s="58"/>
      <c r="G68" s="58"/>
    </row>
    <row r="69" ht="21.75" customHeight="1">
      <c r="B69" s="58"/>
      <c r="C69" s="58"/>
      <c r="D69" s="58"/>
      <c r="E69" s="58"/>
      <c r="F69" s="58"/>
      <c r="G69" s="58"/>
    </row>
    <row r="70" ht="21.75" customHeight="1">
      <c r="B70" s="58"/>
      <c r="C70" s="58"/>
      <c r="D70" s="58"/>
      <c r="E70" s="58"/>
      <c r="F70" s="58"/>
      <c r="G70" s="58"/>
    </row>
    <row r="71" ht="21.75" customHeight="1">
      <c r="B71" s="58"/>
      <c r="C71" s="58"/>
      <c r="D71" s="58"/>
      <c r="E71" s="58"/>
      <c r="F71" s="58"/>
      <c r="G71" s="58"/>
    </row>
    <row r="72" ht="21.75" customHeight="1">
      <c r="B72" s="58"/>
      <c r="C72" s="58"/>
      <c r="D72" s="58"/>
      <c r="E72" s="58"/>
      <c r="F72" s="58"/>
      <c r="G72" s="58"/>
    </row>
    <row r="73" ht="21.75" customHeight="1">
      <c r="B73" s="58"/>
      <c r="C73" s="58"/>
      <c r="D73" s="58"/>
      <c r="E73" s="58"/>
      <c r="F73" s="58"/>
      <c r="G73" s="58"/>
    </row>
    <row r="74" ht="21.75" customHeight="1">
      <c r="B74" s="58"/>
      <c r="C74" s="58"/>
      <c r="D74" s="58"/>
      <c r="E74" s="58"/>
      <c r="F74" s="58"/>
      <c r="G74" s="58"/>
    </row>
    <row r="75" ht="21.75" customHeight="1">
      <c r="B75" s="58"/>
      <c r="C75" s="58"/>
      <c r="D75" s="58"/>
      <c r="E75" s="58"/>
      <c r="F75" s="58"/>
      <c r="G75" s="58"/>
    </row>
    <row r="76" ht="21.75" customHeight="1">
      <c r="B76" s="58"/>
      <c r="C76" s="58"/>
      <c r="D76" s="58"/>
      <c r="E76" s="58"/>
      <c r="F76" s="58"/>
      <c r="G76" s="58"/>
    </row>
    <row r="77" ht="21.75" customHeight="1">
      <c r="B77" s="58"/>
      <c r="C77" s="58"/>
      <c r="D77" s="58"/>
      <c r="E77" s="58"/>
      <c r="F77" s="58"/>
      <c r="G77" s="58"/>
    </row>
    <row r="78" ht="21.75" customHeight="1">
      <c r="B78" s="58"/>
      <c r="C78" s="58"/>
      <c r="D78" s="58"/>
      <c r="E78" s="58"/>
      <c r="F78" s="58"/>
      <c r="G78" s="58"/>
    </row>
    <row r="79" ht="21.75" customHeight="1">
      <c r="B79" s="58"/>
      <c r="C79" s="58"/>
      <c r="D79" s="58"/>
      <c r="E79" s="58"/>
      <c r="F79" s="58"/>
      <c r="G79" s="58"/>
    </row>
    <row r="80" ht="21.75" customHeight="1">
      <c r="B80" s="58"/>
      <c r="C80" s="58"/>
      <c r="D80" s="58"/>
      <c r="E80" s="58"/>
      <c r="F80" s="58"/>
      <c r="G80" s="58"/>
    </row>
    <row r="81" ht="21.75" customHeight="1">
      <c r="B81" s="58"/>
      <c r="C81" s="58"/>
      <c r="D81" s="58"/>
      <c r="E81" s="58"/>
      <c r="F81" s="58"/>
      <c r="G81" s="58"/>
    </row>
    <row r="82" ht="21.75" customHeight="1">
      <c r="B82" s="58"/>
      <c r="C82" s="58"/>
      <c r="D82" s="58"/>
      <c r="E82" s="58"/>
      <c r="F82" s="58"/>
      <c r="G82" s="58"/>
    </row>
    <row r="83" ht="21.75" customHeight="1">
      <c r="B83" s="58"/>
      <c r="C83" s="58"/>
      <c r="D83" s="58"/>
      <c r="E83" s="58"/>
      <c r="F83" s="58"/>
      <c r="G83" s="58"/>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a semana del 2 al 11." sqref="F4:F83">
      <formula1>"2,3,4,5,6,7,8,9,10,11"</formula1>
    </dataValidation>
    <dataValidation type="list" allowBlank="1" showInputMessage="1" showErrorMessage="1" prompt="Valor Inválido - Seleccione una competencia válida de la hoja anterior." sqref="G4:G83">
      <formula1>Competencias_2S_2026!$P$5:$P$27</formula1>
    </dataValidation>
    <dataValidation type="list" allowBlank="1" showInputMessage="1" showErrorMessage="1" prompt="Valor Inválido - Seleccione un mes válido." sqref="E4:E83">
      <formula1>"Enero,Febrero,Marzo,Abril,Mayo,Junio,Julio,Agosto,Septiembre,Octubre,Noviembre,Diciembre"</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s>
  <sheetData>
    <row r="1" ht="19.5" customHeight="1"/>
    <row r="2">
      <c r="B2" s="1" t="s">
        <v>114</v>
      </c>
    </row>
    <row r="4">
      <c r="B4" s="24" t="s">
        <v>1</v>
      </c>
      <c r="C4" s="59" t="s">
        <v>2</v>
      </c>
      <c r="D4" s="7"/>
      <c r="E4" s="7"/>
      <c r="F4" s="7"/>
      <c r="G4" s="7"/>
      <c r="H4" s="8"/>
    </row>
    <row r="5">
      <c r="B5" s="24" t="s">
        <v>75</v>
      </c>
      <c r="C5" s="60">
        <v>1.0</v>
      </c>
      <c r="D5" s="7"/>
      <c r="E5" s="7"/>
      <c r="F5" s="7"/>
      <c r="G5" s="7"/>
      <c r="H5" s="8"/>
    </row>
    <row r="6">
      <c r="B6" s="24" t="s">
        <v>115</v>
      </c>
      <c r="C6" s="60">
        <f>SUM(F8:F48)</f>
        <v>95</v>
      </c>
      <c r="D6" s="7"/>
      <c r="E6" s="7"/>
      <c r="F6" s="7"/>
      <c r="G6" s="7"/>
      <c r="H6" s="8"/>
    </row>
    <row r="8">
      <c r="A8" s="61" t="s">
        <v>116</v>
      </c>
      <c r="E8" s="62" t="s">
        <v>117</v>
      </c>
      <c r="F8" s="63">
        <v>10.0</v>
      </c>
    </row>
    <row r="9">
      <c r="E9" s="64" t="s">
        <v>118</v>
      </c>
    </row>
    <row r="10" ht="24.75" customHeight="1">
      <c r="A10" s="65" t="s">
        <v>119</v>
      </c>
      <c r="B10" s="66" t="s">
        <v>120</v>
      </c>
      <c r="C10" s="7"/>
      <c r="D10" s="7"/>
      <c r="E10" s="8"/>
      <c r="F10" s="67" t="s">
        <v>121</v>
      </c>
      <c r="G10" s="68" t="s">
        <v>122</v>
      </c>
    </row>
    <row r="11" ht="24.75" customHeight="1">
      <c r="A11" s="65" t="s">
        <v>123</v>
      </c>
      <c r="B11" s="66"/>
      <c r="C11" s="7"/>
      <c r="D11" s="7"/>
      <c r="E11" s="8"/>
      <c r="F11" s="69"/>
    </row>
    <row r="12">
      <c r="A12" s="65" t="s">
        <v>124</v>
      </c>
      <c r="B12" s="66" t="s">
        <v>125</v>
      </c>
      <c r="C12" s="7"/>
      <c r="D12" s="7"/>
      <c r="E12" s="8"/>
      <c r="F12" s="69"/>
    </row>
    <row r="13" ht="24.75" customHeight="1">
      <c r="A13" s="65" t="s">
        <v>126</v>
      </c>
      <c r="B13" s="66" t="s">
        <v>127</v>
      </c>
      <c r="C13" s="7"/>
      <c r="D13" s="7"/>
      <c r="E13" s="8"/>
      <c r="F13" s="69"/>
    </row>
    <row r="14" ht="24.75" customHeight="1">
      <c r="A14" s="65" t="s">
        <v>128</v>
      </c>
      <c r="B14" s="66" t="s">
        <v>129</v>
      </c>
      <c r="C14" s="7"/>
      <c r="D14" s="7"/>
      <c r="E14" s="8"/>
      <c r="F14" s="70"/>
    </row>
    <row r="16">
      <c r="A16" s="61" t="s">
        <v>130</v>
      </c>
      <c r="E16" s="62" t="s">
        <v>117</v>
      </c>
      <c r="F16" s="63">
        <v>20.0</v>
      </c>
    </row>
    <row r="17">
      <c r="E17" s="64" t="s">
        <v>131</v>
      </c>
    </row>
    <row r="18" ht="39.75" customHeight="1">
      <c r="A18" s="65" t="s">
        <v>132</v>
      </c>
      <c r="B18" s="66" t="s">
        <v>133</v>
      </c>
      <c r="C18" s="7"/>
      <c r="D18" s="7"/>
      <c r="E18" s="8"/>
      <c r="F18" s="67" t="s">
        <v>121</v>
      </c>
      <c r="G18" s="68" t="s">
        <v>134</v>
      </c>
    </row>
    <row r="19" ht="39.75" customHeight="1">
      <c r="A19" s="65" t="s">
        <v>135</v>
      </c>
      <c r="B19" s="66" t="s">
        <v>136</v>
      </c>
      <c r="C19" s="7"/>
      <c r="D19" s="7"/>
      <c r="E19" s="8"/>
      <c r="F19" s="69"/>
    </row>
    <row r="20" ht="24.75" customHeight="1">
      <c r="A20" s="65" t="s">
        <v>128</v>
      </c>
      <c r="B20" s="66"/>
      <c r="C20" s="7"/>
      <c r="D20" s="7"/>
      <c r="E20" s="8"/>
      <c r="F20" s="70"/>
    </row>
    <row r="21" ht="15.75" customHeight="1"/>
    <row r="22" ht="15.75" customHeight="1">
      <c r="A22" s="61" t="s">
        <v>137</v>
      </c>
      <c r="E22" s="62" t="s">
        <v>117</v>
      </c>
      <c r="F22" s="63">
        <v>20.0</v>
      </c>
    </row>
    <row r="23" ht="15.75" customHeight="1">
      <c r="E23" s="64" t="s">
        <v>138</v>
      </c>
    </row>
    <row r="24" ht="24.75" customHeight="1">
      <c r="A24" s="65" t="s">
        <v>139</v>
      </c>
      <c r="B24" s="66" t="s">
        <v>140</v>
      </c>
      <c r="C24" s="7"/>
      <c r="D24" s="7"/>
      <c r="E24" s="8"/>
      <c r="F24" s="67" t="s">
        <v>121</v>
      </c>
      <c r="G24" s="68" t="s">
        <v>141</v>
      </c>
    </row>
    <row r="25" ht="39.75" customHeight="1">
      <c r="A25" s="65" t="s">
        <v>142</v>
      </c>
      <c r="B25" s="66" t="s">
        <v>143</v>
      </c>
      <c r="C25" s="7"/>
      <c r="D25" s="7"/>
      <c r="E25" s="8"/>
      <c r="F25" s="69"/>
    </row>
    <row r="26" ht="24.75" customHeight="1">
      <c r="A26" s="65" t="s">
        <v>128</v>
      </c>
      <c r="B26" s="66"/>
      <c r="C26" s="7"/>
      <c r="D26" s="7"/>
      <c r="E26" s="8"/>
      <c r="F26" s="70"/>
    </row>
    <row r="27" ht="15.75" customHeight="1"/>
    <row r="28" ht="15.75" customHeight="1">
      <c r="A28" s="61" t="s">
        <v>144</v>
      </c>
      <c r="E28" s="62" t="s">
        <v>117</v>
      </c>
      <c r="F28" s="63">
        <v>5.0</v>
      </c>
    </row>
    <row r="29" ht="30.0" customHeight="1">
      <c r="E29" s="64" t="s">
        <v>145</v>
      </c>
    </row>
    <row r="30" ht="34.5" customHeight="1">
      <c r="A30" s="71" t="s">
        <v>146</v>
      </c>
    </row>
    <row r="31" ht="30.75" customHeight="1">
      <c r="A31" s="65" t="s">
        <v>147</v>
      </c>
      <c r="B31" s="66"/>
      <c r="C31" s="7"/>
      <c r="D31" s="7"/>
      <c r="E31" s="8"/>
      <c r="F31" s="67" t="s">
        <v>121</v>
      </c>
      <c r="G31" s="68" t="s">
        <v>148</v>
      </c>
    </row>
    <row r="32" ht="39.75" customHeight="1">
      <c r="A32" s="65" t="s">
        <v>149</v>
      </c>
      <c r="B32" s="66" t="s">
        <v>150</v>
      </c>
      <c r="C32" s="7"/>
      <c r="D32" s="7"/>
      <c r="E32" s="8"/>
      <c r="F32" s="69"/>
    </row>
    <row r="33" ht="24.75" customHeight="1">
      <c r="A33" s="65" t="s">
        <v>128</v>
      </c>
      <c r="B33" s="66"/>
      <c r="C33" s="7"/>
      <c r="D33" s="7"/>
      <c r="E33" s="8"/>
      <c r="F33" s="70"/>
    </row>
    <row r="34" ht="15.75" customHeight="1"/>
    <row r="35" ht="15.75" customHeight="1">
      <c r="A35" s="61" t="s">
        <v>151</v>
      </c>
      <c r="E35" s="62" t="s">
        <v>117</v>
      </c>
      <c r="F35" s="63">
        <v>30.0</v>
      </c>
    </row>
    <row r="36" ht="15.75" customHeight="1">
      <c r="E36" s="64" t="s">
        <v>138</v>
      </c>
    </row>
    <row r="37" ht="24.75" customHeight="1">
      <c r="A37" s="65" t="s">
        <v>128</v>
      </c>
      <c r="B37" s="66"/>
      <c r="C37" s="7"/>
      <c r="D37" s="7"/>
      <c r="E37" s="8"/>
    </row>
    <row r="38" ht="15.75" customHeight="1"/>
    <row r="39" ht="15.75" customHeight="1">
      <c r="A39" s="61" t="s">
        <v>152</v>
      </c>
      <c r="E39" s="62" t="s">
        <v>117</v>
      </c>
      <c r="F39" s="63">
        <v>10.0</v>
      </c>
    </row>
    <row r="40" ht="15.75" customHeight="1">
      <c r="E40" s="64" t="s">
        <v>118</v>
      </c>
    </row>
    <row r="41" ht="39.75" customHeight="1">
      <c r="A41" s="65" t="s">
        <v>153</v>
      </c>
      <c r="B41" s="66" t="s">
        <v>154</v>
      </c>
      <c r="C41" s="7"/>
      <c r="D41" s="7"/>
      <c r="E41" s="8"/>
    </row>
    <row r="42" ht="24.75" customHeight="1">
      <c r="A42" s="65" t="s">
        <v>128</v>
      </c>
      <c r="B42" s="66"/>
      <c r="C42" s="7"/>
      <c r="D42" s="7"/>
      <c r="E42" s="8"/>
    </row>
    <row r="43" ht="15.75" customHeight="1"/>
    <row r="44" ht="15.75" customHeight="1">
      <c r="A44" s="61" t="s">
        <v>155</v>
      </c>
    </row>
    <row r="45" ht="34.5" customHeight="1">
      <c r="A45" s="71" t="s">
        <v>156</v>
      </c>
    </row>
    <row r="46" ht="39.75" customHeight="1">
      <c r="A46" s="65" t="s">
        <v>157</v>
      </c>
      <c r="B46" s="66" t="s">
        <v>158</v>
      </c>
      <c r="C46" s="7"/>
      <c r="D46" s="7"/>
      <c r="E46" s="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2.0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165</v>
      </c>
      <c r="C12" s="7"/>
      <c r="D12" s="7"/>
      <c r="E12" s="7"/>
      <c r="F12" s="7"/>
      <c r="G12" s="7"/>
      <c r="H12" s="8"/>
    </row>
    <row r="13">
      <c r="A13" s="76" t="s">
        <v>117</v>
      </c>
      <c r="B13" s="25">
        <v>5.0</v>
      </c>
      <c r="C13" s="7"/>
      <c r="D13" s="7"/>
      <c r="E13" s="7"/>
      <c r="F13" s="7"/>
      <c r="G13" s="7"/>
      <c r="H13" s="8"/>
    </row>
    <row r="14">
      <c r="A14" s="47" t="s">
        <v>166</v>
      </c>
      <c r="B14" s="7"/>
      <c r="C14" s="7"/>
      <c r="D14" s="7"/>
      <c r="E14" s="7"/>
      <c r="F14" s="7"/>
      <c r="G14" s="7"/>
      <c r="H14" s="8"/>
    </row>
    <row r="15">
      <c r="A15" s="77" t="s">
        <v>167</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169</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81</v>
      </c>
      <c r="C23" s="7"/>
      <c r="D23" s="7"/>
      <c r="E23" s="7"/>
      <c r="F23" s="7"/>
      <c r="G23" s="7"/>
      <c r="H23" s="8"/>
    </row>
    <row r="24" ht="15.75" customHeight="1">
      <c r="A24" s="76" t="s">
        <v>172</v>
      </c>
      <c r="B24" s="25" t="s">
        <v>101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Curricular'!$F$4:$F$100=2), 1), """")"),"1. Fundamentos")</f>
        <v>1. Fundamentos</v>
      </c>
      <c r="C28" s="8"/>
      <c r="D28" s="28" t="str">
        <f>IFERROR(__xludf.DUMMYFUNCTION("IFERROR(INDEX(FILTER('Contenido Curricular'!$C$4:$C$100, 'Contenido Curricular'!$F$4:$F$100=2), 1), """")"),"Lógica Algorítmica")</f>
        <v>Lógica Algorítmica</v>
      </c>
      <c r="E28" s="8"/>
      <c r="F28" s="28" t="str">
        <f>IFERROR(__xludf.DUMMYFUNCTION("IFERROR(INDEX(FILTER('Contenido Curricular'!$D$4:$D$100, 'Contenido Curricular'!$F$4:$F$100=2), 1), """")"),"Algoritmos y Diagramas")</f>
        <v>Algoritmos y Diagramas</v>
      </c>
      <c r="G28" s="7"/>
      <c r="H28" s="8"/>
    </row>
    <row r="29" ht="45.0" customHeight="1">
      <c r="A29" s="80">
        <v>2.0</v>
      </c>
      <c r="B29" s="28" t="str">
        <f>IFERROR(__xludf.DUMMYFUNCTION("IFERROR(INDEX(FILTER('Contenido Curricular'!$B$4:$B$100, 'Contenido Curricular'!$F$4:$F$100=2), 2), """")"),"")</f>
        <v/>
      </c>
      <c r="C29" s="8"/>
      <c r="D29" s="28" t="str">
        <f>IFERROR(__xludf.DUMMYFUNCTION("IFERROR(INDEX(FILTER('Contenido Curricular'!$C$4:$C$100, 'Contenido Curricular'!$F$4:$F$100=2), 2), """")"),"")</f>
        <v/>
      </c>
      <c r="E29" s="8"/>
      <c r="F29" s="28" t="str">
        <f>IFERROR(__xludf.DUMMYFUNCTION("IFERROR(INDEX(FILTER('Contenido Curricular'!$D$4:$D$100, 'Contenido Curricular'!$F$4:$F$100=2), 2), """")"),"")</f>
        <v/>
      </c>
      <c r="G29" s="7"/>
      <c r="H29" s="8"/>
    </row>
    <row r="30" ht="45.0" customHeight="1">
      <c r="A30" s="80">
        <v>3.0</v>
      </c>
      <c r="B30" s="28" t="str">
        <f>IFERROR(__xludf.DUMMYFUNCTION("IFERROR(INDEX(FILTER('Contenido Curricular'!$B$4:$B$100, 'Contenido Curricular'!$F$4:$F$100=2), 3), """")"),"")</f>
        <v/>
      </c>
      <c r="C30" s="8"/>
      <c r="D30" s="28" t="str">
        <f>IFERROR(__xludf.DUMMYFUNCTION("IFERROR(INDEX(FILTER('Contenido Curricular'!$C$4:$C$100, 'Contenido Curricular'!$F$4:$F$100=2), 3), """")"),"")</f>
        <v/>
      </c>
      <c r="E30" s="8"/>
      <c r="F30" s="28" t="str">
        <f>IFERROR(__xludf.DUMMYFUNCTION("IFERROR(INDEX(FILTER('Contenido Curricular'!$D$4:$D$100, 'Contenido Curricular'!$F$4:$F$100=2), 3), """")"),"")</f>
        <v/>
      </c>
      <c r="G30" s="7"/>
      <c r="H30" s="8"/>
    </row>
    <row r="31" ht="45.0" customHeight="1">
      <c r="A31" s="80">
        <v>4.0</v>
      </c>
      <c r="B31" s="28" t="str">
        <f>IFERROR(__xludf.DUMMYFUNCTION("IFERROR(INDEX(FILTER('Contenido Curricular'!$B$4:$B$100, 'Contenido Curricular'!$F$4:$F$100=2), 4), """")"),"")</f>
        <v/>
      </c>
      <c r="C31" s="8"/>
      <c r="D31" s="28" t="str">
        <f>IFERROR(__xludf.DUMMYFUNCTION("IFERROR(INDEX(FILTER('Contenido Curricular'!$C$4:$C$100, 'Contenido Curricular'!$F$4:$F$100=2), 4), """")"),"")</f>
        <v/>
      </c>
      <c r="E31" s="8"/>
      <c r="F31" s="28" t="str">
        <f>IFERROR(__xludf.DUMMYFUNCTION("IFERROR(INDEX(FILTER('Contenido Curricular'!$D$4:$D$100, 'Contenido Curricular'!$F$4:$F$100=2), 4), """")"),"")</f>
        <v/>
      </c>
      <c r="G31" s="7"/>
      <c r="H31" s="8"/>
    </row>
    <row r="32" ht="45.0" customHeight="1">
      <c r="A32" s="80">
        <v>5.0</v>
      </c>
      <c r="B32" s="28" t="str">
        <f>IFERROR(__xludf.DUMMYFUNCTION("IFERROR(INDEX(FILTER('Contenido Curricular'!$B$4:$B$100, 'Contenido Curricular'!$F$4:$F$100=2), 5), """")"),"")</f>
        <v/>
      </c>
      <c r="C32" s="8"/>
      <c r="D32" s="28" t="str">
        <f>IFERROR(__xludf.DUMMYFUNCTION("IFERROR(INDEX(FILTER('Contenido Curricular'!$C$4:$C$100, 'Contenido Curricular'!$F$4:$F$100=2), 5), """")"),"")</f>
        <v/>
      </c>
      <c r="E32" s="8"/>
      <c r="F32" s="28" t="str">
        <f>IFERROR(__xludf.DUMMYFUNCTION("IFERROR(INDEX(FILTER('Contenido Curricular'!$D$4:$D$100, 'Contenido Curricular'!$F$4:$F$100=2), 5), """")"),"")</f>
        <v/>
      </c>
      <c r="G32" s="7"/>
      <c r="H32" s="8"/>
    </row>
    <row r="33" ht="45.0" customHeight="1">
      <c r="A33" s="80">
        <v>6.0</v>
      </c>
      <c r="B33" s="28" t="str">
        <f>IFERROR(__xludf.DUMMYFUNCTION("IFERROR(INDEX(FILTER('Contenido Curricular'!$B$4:$B$100, 'Contenido Curricular'!$F$4:$F$100=2), 6), """")"),"")</f>
        <v/>
      </c>
      <c r="C33" s="8"/>
      <c r="D33" s="28" t="str">
        <f>IFERROR(__xludf.DUMMYFUNCTION("IFERROR(INDEX(FILTER('Contenido Curricular'!$C$4:$C$100, 'Contenido Curricular'!$F$4:$F$100=2), 6), """")"),"")</f>
        <v/>
      </c>
      <c r="E33" s="8"/>
      <c r="F33" s="28" t="str">
        <f>IFERROR(__xludf.DUMMYFUNCTION("IFERROR(INDEX(FILTER('Contenido Curricular'!$D$4:$D$100, 'Contenido Curricular'!$F$4:$F$100=2), 6), """")"),"")</f>
        <v/>
      </c>
      <c r="G33" s="7"/>
      <c r="H33" s="8"/>
    </row>
    <row r="34" ht="45.0" customHeight="1">
      <c r="A34" s="80">
        <v>7.0</v>
      </c>
      <c r="B34" s="28" t="str">
        <f>IFERROR(__xludf.DUMMYFUNCTION("IFERROR(INDEX(FILTER('Contenido Curricular'!$B$4:$B$100, 'Contenido Curricular'!$F$4:$F$100=2), 7), """")"),"")</f>
        <v/>
      </c>
      <c r="C34" s="8"/>
      <c r="D34" s="28" t="str">
        <f>IFERROR(__xludf.DUMMYFUNCTION("IFERROR(INDEX(FILTER('Contenido Curricular'!$C$4:$C$100, 'Contenido Curricular'!$F$4:$F$100=2), 7), """")"),"")</f>
        <v/>
      </c>
      <c r="E34" s="8"/>
      <c r="F34" s="28" t="str">
        <f>IFERROR(__xludf.DUMMYFUNCTION("IFERROR(INDEX(FILTER('Contenido Curricular'!$D$4:$D$100, 'Contenido Curricular'!$F$4:$F$100=2), 7), """")"),"")</f>
        <v/>
      </c>
      <c r="G34" s="7"/>
      <c r="H34" s="8"/>
    </row>
    <row r="35" ht="45.0" customHeight="1">
      <c r="A35" s="80">
        <v>8.0</v>
      </c>
      <c r="B35" s="28" t="str">
        <f>IFERROR(__xludf.DUMMYFUNCTION("IFERROR(INDEX(FILTER('Contenido Curricular'!$B$4:$B$100, 'Contenido Curricular'!$F$4:$F$100=2), 8), """")"),"")</f>
        <v/>
      </c>
      <c r="C35" s="8"/>
      <c r="D35" s="28" t="str">
        <f>IFERROR(__xludf.DUMMYFUNCTION("IFERROR(INDEX(FILTER('Contenido Curricular'!$C$4:$C$100, 'Contenido Curricular'!$F$4:$F$100=2), 8), """")"),"")</f>
        <v/>
      </c>
      <c r="E35" s="8"/>
      <c r="F35" s="28" t="str">
        <f>IFERROR(__xludf.DUMMYFUNCTION("IFERROR(INDEX(FILTER('Contenido Curricular'!$D$4:$D$100, 'Contenido Curricular'!$F$4:$F$100=2), 8), """")"),"")</f>
        <v/>
      </c>
      <c r="G35" s="7"/>
      <c r="H35" s="8"/>
    </row>
    <row r="36" ht="45.0" customHeight="1">
      <c r="A36" s="80">
        <v>9.0</v>
      </c>
      <c r="B36" s="28" t="str">
        <f>IFERROR(__xludf.DUMMYFUNCTION("IFERROR(INDEX(FILTER('Contenido Curricular'!$B$4:$B$100, 'Contenido Curricular'!$F$4:$F$100=2), 9), """")"),"")</f>
        <v/>
      </c>
      <c r="C36" s="8"/>
      <c r="D36" s="28" t="str">
        <f>IFERROR(__xludf.DUMMYFUNCTION("IFERROR(INDEX(FILTER('Contenido Curricular'!$C$4:$C$100, 'Contenido Curricular'!$F$4:$F$100=2), 9), """")"),"")</f>
        <v/>
      </c>
      <c r="E36" s="8"/>
      <c r="F36" s="28" t="str">
        <f>IFERROR(__xludf.DUMMYFUNCTION("IFERROR(INDEX(FILTER('Contenido Curricular'!$D$4:$D$100, 'Contenido Curricular'!$F$4:$F$100=2), 9), """")"),"")</f>
        <v/>
      </c>
      <c r="G36" s="7"/>
      <c r="H36" s="8"/>
    </row>
    <row r="37" ht="45.0" customHeight="1">
      <c r="A37" s="80">
        <v>10.0</v>
      </c>
      <c r="B37" s="28" t="str">
        <f>IFERROR(__xludf.DUMMYFUNCTION("IFERROR(INDEX(FILTER('Contenido Curricular'!$B$4:$B$100, 'Contenido Curricular'!$F$4:$F$100=2), 10), """")"),"")</f>
        <v/>
      </c>
      <c r="C37" s="8"/>
      <c r="D37" s="28" t="str">
        <f>IFERROR(__xludf.DUMMYFUNCTION("IFERROR(INDEX(FILTER('Contenido Curricular'!$C$4:$C$100, 'Contenido Curricular'!$F$4:$F$100=2), 10), """")"),"")</f>
        <v/>
      </c>
      <c r="E37" s="8"/>
      <c r="F37" s="28" t="str">
        <f>IFERROR(__xludf.DUMMYFUNCTION("IFERROR(INDEX(FILTER('Contenido Curricular'!$D$4:$D$100, 'Contenido Curricular'!$F$4:$F$100=2),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81</v>
      </c>
      <c r="C48" s="7"/>
      <c r="D48" s="7"/>
      <c r="E48" s="7"/>
      <c r="F48" s="7"/>
      <c r="G48" s="7"/>
      <c r="H48" s="8"/>
    </row>
    <row r="49" ht="15.75" customHeight="1">
      <c r="A49" s="76" t="s">
        <v>6</v>
      </c>
      <c r="B49" s="25" t="s">
        <v>193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196</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3.0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203</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205</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206</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85</v>
      </c>
      <c r="C23" s="7"/>
      <c r="D23" s="7"/>
      <c r="E23" s="7"/>
      <c r="F23" s="7"/>
      <c r="G23" s="7"/>
      <c r="H23" s="8"/>
    </row>
    <row r="24" ht="15.75" customHeight="1">
      <c r="A24" s="76" t="s">
        <v>172</v>
      </c>
      <c r="B24" s="25" t="s">
        <v>101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Curricular'!$F$4:$F$100=3), 1), """")"),"1. Fundamentos")</f>
        <v>1. Fundamentos</v>
      </c>
      <c r="C28" s="8"/>
      <c r="D28" s="28" t="str">
        <f>IFERROR(__xludf.DUMMYFUNCTION("IFERROR(INDEX(FILTER('Contenido Curricular'!$C$4:$C$100, 'Contenido Curricular'!$F$4:$F$100=3), 1), """")"),"Versionamiento")</f>
        <v>Versionamiento</v>
      </c>
      <c r="E28" s="8"/>
      <c r="F28" s="28" t="str">
        <f>IFERROR(__xludf.DUMMYFUNCTION("IFERROR(INDEX(FILTER('Contenido Curricular'!$D$4:$D$100, 'Contenido Curricular'!$F$4:$F$100=3), 1), """")"),"Herramientas de versionamiento")</f>
        <v>Herramientas de versionamiento</v>
      </c>
      <c r="G28" s="7"/>
      <c r="H28" s="8"/>
    </row>
    <row r="29" ht="45.0" customHeight="1">
      <c r="A29" s="80">
        <v>2.0</v>
      </c>
      <c r="B29" s="28"/>
      <c r="C29" s="8"/>
      <c r="D29" s="28" t="str">
        <f>IFERROR(__xludf.DUMMYFUNCTION("IFERROR(INDEX(FILTER('Contenido Curricular'!$C$4:$C$100, 'Contenido Curricular'!$F$4:$F$100=3), 2), """")"),"")</f>
        <v/>
      </c>
      <c r="E29" s="8"/>
      <c r="F29" s="28" t="str">
        <f>IFERROR(__xludf.DUMMYFUNCTION("IFERROR(INDEX(FILTER('Contenido Curricular'!$D$4:$D$100, 'Contenido Curricular'!$F$4:$F$100=3), 2), """")"),"")</f>
        <v/>
      </c>
      <c r="G29" s="7"/>
      <c r="H29" s="8"/>
    </row>
    <row r="30" ht="45.0" customHeight="1">
      <c r="A30" s="80">
        <v>3.0</v>
      </c>
      <c r="B30" s="28" t="str">
        <f>IFERROR(__xludf.DUMMYFUNCTION("IFERROR(INDEX(FILTER('Contenido Curricular'!$B$4:$B$100, 'Contenido Curricular'!$F$4:$F$100=3), 3), """")"),"")</f>
        <v/>
      </c>
      <c r="C30" s="8"/>
      <c r="D30" s="28" t="str">
        <f>IFERROR(__xludf.DUMMYFUNCTION("IFERROR(INDEX(FILTER('Contenido Curricular'!$C$4:$C$100, 'Contenido Curricular'!$F$4:$F$100=3), 3), """")"),"")</f>
        <v/>
      </c>
      <c r="E30" s="8"/>
      <c r="F30" s="28" t="str">
        <f>IFERROR(__xludf.DUMMYFUNCTION("IFERROR(INDEX(FILTER('Contenido Curricular'!$D$4:$D$100, 'Contenido Curricular'!$F$4:$F$100=3), 3), """")"),"")</f>
        <v/>
      </c>
      <c r="G30" s="7"/>
      <c r="H30" s="8"/>
    </row>
    <row r="31" ht="45.0" customHeight="1">
      <c r="A31" s="80">
        <v>4.0</v>
      </c>
      <c r="B31" s="28" t="str">
        <f>IFERROR(__xludf.DUMMYFUNCTION("IFERROR(INDEX(FILTER('Contenido Curricular'!$B$4:$B$100, 'Contenido Curricular'!$F$4:$F$100=3), 4), """")"),"")</f>
        <v/>
      </c>
      <c r="C31" s="8"/>
      <c r="D31" s="28" t="str">
        <f>IFERROR(__xludf.DUMMYFUNCTION("IFERROR(INDEX(FILTER('Contenido Curricular'!$C$4:$C$100, 'Contenido Curricular'!$F$4:$F$100=3), 4), """")"),"")</f>
        <v/>
      </c>
      <c r="E31" s="8"/>
      <c r="F31" s="28" t="str">
        <f>IFERROR(__xludf.DUMMYFUNCTION("IFERROR(INDEX(FILTER('Contenido Curricular'!$D$4:$D$100, 'Contenido Curricular'!$F$4:$F$100=3), 4), """")"),"")</f>
        <v/>
      </c>
      <c r="G31" s="7"/>
      <c r="H31" s="8"/>
    </row>
    <row r="32" ht="45.0" customHeight="1">
      <c r="A32" s="80">
        <v>5.0</v>
      </c>
      <c r="B32" s="28" t="str">
        <f>IFERROR(__xludf.DUMMYFUNCTION("IFERROR(INDEX(FILTER('Contenido Curricular'!$B$4:$B$100, 'Contenido Curricular'!$F$4:$F$100=3), 5), """")"),"")</f>
        <v/>
      </c>
      <c r="C32" s="8"/>
      <c r="D32" s="28" t="str">
        <f>IFERROR(__xludf.DUMMYFUNCTION("IFERROR(INDEX(FILTER('Contenido Curricular'!$C$4:$C$100, 'Contenido Curricular'!$F$4:$F$100=3), 5), """")"),"")</f>
        <v/>
      </c>
      <c r="E32" s="8"/>
      <c r="F32" s="28" t="str">
        <f>IFERROR(__xludf.DUMMYFUNCTION("IFERROR(INDEX(FILTER('Contenido Curricular'!$D$4:$D$100, 'Contenido Curricular'!$F$4:$F$100=3), 5), """")"),"")</f>
        <v/>
      </c>
      <c r="G32" s="7"/>
      <c r="H32" s="8"/>
    </row>
    <row r="33" ht="45.0" customHeight="1">
      <c r="A33" s="80">
        <v>6.0</v>
      </c>
      <c r="B33" s="28" t="str">
        <f>IFERROR(__xludf.DUMMYFUNCTION("IFERROR(INDEX(FILTER('Contenido Curricular'!$B$4:$B$100, 'Contenido Curricular'!$F$4:$F$100=3), 6), """")"),"")</f>
        <v/>
      </c>
      <c r="C33" s="8"/>
      <c r="D33" s="28" t="str">
        <f>IFERROR(__xludf.DUMMYFUNCTION("IFERROR(INDEX(FILTER('Contenido Curricular'!$C$4:$C$100, 'Contenido Curricular'!$F$4:$F$100=3), 6), """")"),"")</f>
        <v/>
      </c>
      <c r="E33" s="8"/>
      <c r="F33" s="28" t="str">
        <f>IFERROR(__xludf.DUMMYFUNCTION("IFERROR(INDEX(FILTER('Contenido Curricular'!$D$4:$D$100, 'Contenido Curricular'!$F$4:$F$100=3), 6), """")"),"")</f>
        <v/>
      </c>
      <c r="G33" s="7"/>
      <c r="H33" s="8"/>
    </row>
    <row r="34" ht="45.0" customHeight="1">
      <c r="A34" s="80">
        <v>7.0</v>
      </c>
      <c r="B34" s="28" t="str">
        <f>IFERROR(__xludf.DUMMYFUNCTION("IFERROR(INDEX(FILTER('Contenido Curricular'!$B$4:$B$100, 'Contenido Curricular'!$F$4:$F$100=3), 7), """")"),"")</f>
        <v/>
      </c>
      <c r="C34" s="8"/>
      <c r="D34" s="28" t="str">
        <f>IFERROR(__xludf.DUMMYFUNCTION("IFERROR(INDEX(FILTER('Contenido Curricular'!$C$4:$C$100, 'Contenido Curricular'!$F$4:$F$100=3), 7), """")"),"")</f>
        <v/>
      </c>
      <c r="E34" s="8"/>
      <c r="F34" s="28" t="str">
        <f>IFERROR(__xludf.DUMMYFUNCTION("IFERROR(INDEX(FILTER('Contenido Curricular'!$D$4:$D$100, 'Contenido Curricular'!$F$4:$F$100=3), 7), """")"),"")</f>
        <v/>
      </c>
      <c r="G34" s="7"/>
      <c r="H34" s="8"/>
    </row>
    <row r="35" ht="45.0" customHeight="1">
      <c r="A35" s="80">
        <v>8.0</v>
      </c>
      <c r="B35" s="28" t="str">
        <f>IFERROR(__xludf.DUMMYFUNCTION("IFERROR(INDEX(FILTER('Contenido Curricular'!$B$4:$B$100, 'Contenido Curricular'!$F$4:$F$100=3), 8), """")"),"")</f>
        <v/>
      </c>
      <c r="C35" s="8"/>
      <c r="D35" s="28" t="str">
        <f>IFERROR(__xludf.DUMMYFUNCTION("IFERROR(INDEX(FILTER('Contenido Curricular'!$C$4:$C$100, 'Contenido Curricular'!$F$4:$F$100=3), 8), """")"),"")</f>
        <v/>
      </c>
      <c r="E35" s="8"/>
      <c r="F35" s="28" t="str">
        <f>IFERROR(__xludf.DUMMYFUNCTION("IFERROR(INDEX(FILTER('Contenido Curricular'!$D$4:$D$100, 'Contenido Curricular'!$F$4:$F$100=3), 8), """")"),"")</f>
        <v/>
      </c>
      <c r="G35" s="7"/>
      <c r="H35" s="8"/>
    </row>
    <row r="36" ht="45.0" customHeight="1">
      <c r="A36" s="80">
        <v>9.0</v>
      </c>
      <c r="B36" s="28" t="str">
        <f>IFERROR(__xludf.DUMMYFUNCTION("IFERROR(INDEX(FILTER('Contenido Curricular'!$B$4:$B$100, 'Contenido Curricular'!$F$4:$F$100=3), 9), """")"),"")</f>
        <v/>
      </c>
      <c r="C36" s="8"/>
      <c r="D36" s="28" t="str">
        <f>IFERROR(__xludf.DUMMYFUNCTION("IFERROR(INDEX(FILTER('Contenido Curricular'!$C$4:$C$100, 'Contenido Curricular'!$F$4:$F$100=3), 9), """")"),"")</f>
        <v/>
      </c>
      <c r="E36" s="8"/>
      <c r="F36" s="28" t="str">
        <f>IFERROR(__xludf.DUMMYFUNCTION("IFERROR(INDEX(FILTER('Contenido Curricular'!$D$4:$D$100, 'Contenido Curricular'!$F$4:$F$100=3), 9), """")"),"")</f>
        <v/>
      </c>
      <c r="G36" s="7"/>
      <c r="H36" s="8"/>
    </row>
    <row r="37" ht="45.0" customHeight="1">
      <c r="A37" s="80">
        <v>10.0</v>
      </c>
      <c r="B37" s="28" t="str">
        <f>IFERROR(__xludf.DUMMYFUNCTION("IFERROR(INDEX(FILTER('Contenido Curricular'!$B$4:$B$100, 'Contenido Curricular'!$F$4:$F$100=3), 10), """")"),"")</f>
        <v/>
      </c>
      <c r="C37" s="8"/>
      <c r="D37" s="28" t="str">
        <f>IFERROR(__xludf.DUMMYFUNCTION("IFERROR(INDEX(FILTER('Contenido Curricular'!$C$4:$C$100, 'Contenido Curricular'!$F$4:$F$100=3), 10), """")"),"")</f>
        <v/>
      </c>
      <c r="E37" s="8"/>
      <c r="F37" s="28" t="str">
        <f>IFERROR(__xludf.DUMMYFUNCTION("IFERROR(INDEX(FILTER('Contenido Curricular'!$D$4:$D$100, 'Contenido Curricular'!$F$4:$F$100=3),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85</v>
      </c>
      <c r="C48" s="7"/>
      <c r="D48" s="7"/>
      <c r="E48" s="7"/>
      <c r="F48" s="7"/>
      <c r="G48" s="7"/>
      <c r="H48" s="8"/>
    </row>
    <row r="49" ht="15.75" customHeight="1">
      <c r="A49" s="76" t="s">
        <v>6</v>
      </c>
      <c r="B49" s="25" t="s">
        <v>193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207</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4.0</v>
      </c>
      <c r="D5" s="7"/>
      <c r="E5" s="7"/>
      <c r="F5" s="7"/>
      <c r="G5" s="7"/>
      <c r="H5" s="8"/>
    </row>
    <row r="6">
      <c r="B6" s="24" t="s">
        <v>115</v>
      </c>
      <c r="C6" s="60">
        <f>H10+H21+H45+H70</f>
        <v>113</v>
      </c>
      <c r="D6" s="7"/>
      <c r="E6" s="7"/>
      <c r="F6" s="7"/>
      <c r="G6" s="7"/>
      <c r="H6" s="8"/>
    </row>
    <row r="7">
      <c r="B7" s="24" t="s">
        <v>160</v>
      </c>
      <c r="C7" s="60">
        <f>B50+B61</f>
        <v>5</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208</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209</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210</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81</v>
      </c>
      <c r="C23" s="7"/>
      <c r="D23" s="7"/>
      <c r="E23" s="7"/>
      <c r="F23" s="7"/>
      <c r="G23" s="7"/>
      <c r="H23" s="8"/>
    </row>
    <row r="24" ht="15.75" customHeight="1">
      <c r="A24" s="76" t="s">
        <v>172</v>
      </c>
      <c r="B24" s="25" t="s">
        <v>105</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Curricular'!$F$4:$F$100=4), 1), """")"),"2. Java Básico")</f>
        <v>2. Java Básico</v>
      </c>
      <c r="C28" s="8"/>
      <c r="D28" s="28" t="str">
        <f>IFERROR(__xludf.DUMMYFUNCTION("IFERROR(INDEX(FILTER('Contenido Curricular'!$C$4:$C$100, 'Contenido Curricular'!$F$4:$F$100=4), 1), """")"),"Sintaxis Inicial")</f>
        <v>Sintaxis Inicial</v>
      </c>
      <c r="E28" s="8"/>
      <c r="F28" s="28" t="str">
        <f>IFERROR(__xludf.DUMMYFUNCTION("IFERROR(INDEX(FILTER('Contenido Curricular'!$D$4:$D$100, 'Contenido Curricular'!$F$4:$F$100=4), 1), """")"),"JDK, JVM y Operadores")</f>
        <v>JDK, JVM y Operadores</v>
      </c>
      <c r="G28" s="7"/>
      <c r="H28" s="8"/>
    </row>
    <row r="29" ht="45.0" customHeight="1">
      <c r="A29" s="80">
        <v>2.0</v>
      </c>
      <c r="B29" s="28" t="str">
        <f>IFERROR(__xludf.DUMMYFUNCTION("IFERROR(INDEX(FILTER('Contenido Curricular'!$B$4:$B$100, 'Contenido Curricular'!$F$4:$F$100=4), 2), """")"),"")</f>
        <v/>
      </c>
      <c r="C29" s="8"/>
      <c r="D29" s="28" t="str">
        <f>IFERROR(__xludf.DUMMYFUNCTION("IFERROR(INDEX(FILTER('Contenido Curricular'!$C$4:$C$100, 'Contenido Curricular'!$F$4:$F$100=4), 2), """")"),"")</f>
        <v/>
      </c>
      <c r="E29" s="8"/>
      <c r="F29" s="28" t="str">
        <f>IFERROR(__xludf.DUMMYFUNCTION("IFERROR(INDEX(FILTER('Contenido Curricular'!$D$4:$D$100, 'Contenido Curricular'!$F$4:$F$100=4), 2), """")"),"")</f>
        <v/>
      </c>
      <c r="G29" s="7"/>
      <c r="H29" s="8"/>
    </row>
    <row r="30" ht="45.0" customHeight="1">
      <c r="A30" s="80">
        <v>3.0</v>
      </c>
      <c r="B30" s="28" t="str">
        <f>IFERROR(__xludf.DUMMYFUNCTION("IFERROR(INDEX(FILTER('Contenido Curricular'!$B$4:$B$100, 'Contenido Curricular'!$F$4:$F$100=4), 3), """")"),"")</f>
        <v/>
      </c>
      <c r="C30" s="8"/>
      <c r="D30" s="28" t="str">
        <f>IFERROR(__xludf.DUMMYFUNCTION("IFERROR(INDEX(FILTER('Contenido Curricular'!$C$4:$C$100, 'Contenido Curricular'!$F$4:$F$100=4), 3), """")"),"")</f>
        <v/>
      </c>
      <c r="E30" s="8"/>
      <c r="F30" s="28" t="str">
        <f>IFERROR(__xludf.DUMMYFUNCTION("IFERROR(INDEX(FILTER('Contenido Curricular'!$D$4:$D$100, 'Contenido Curricular'!$F$4:$F$100=4), 3), """")"),"")</f>
        <v/>
      </c>
      <c r="G30" s="7"/>
      <c r="H30" s="8"/>
    </row>
    <row r="31" ht="45.0" customHeight="1">
      <c r="A31" s="80">
        <v>4.0</v>
      </c>
      <c r="B31" s="28" t="str">
        <f>IFERROR(__xludf.DUMMYFUNCTION("IFERROR(INDEX(FILTER('Contenido Curricular'!$B$4:$B$100, 'Contenido Curricular'!$F$4:$F$100=4), 4), """")"),"")</f>
        <v/>
      </c>
      <c r="C31" s="8"/>
      <c r="D31" s="28" t="str">
        <f>IFERROR(__xludf.DUMMYFUNCTION("IFERROR(INDEX(FILTER('Contenido Curricular'!$C$4:$C$100, 'Contenido Curricular'!$F$4:$F$100=4), 4), """")"),"")</f>
        <v/>
      </c>
      <c r="E31" s="8"/>
      <c r="F31" s="28" t="str">
        <f>IFERROR(__xludf.DUMMYFUNCTION("IFERROR(INDEX(FILTER('Contenido Curricular'!$D$4:$D$100, 'Contenido Curricular'!$F$4:$F$100=4), 4), """")"),"")</f>
        <v/>
      </c>
      <c r="G31" s="7"/>
      <c r="H31" s="8"/>
    </row>
    <row r="32" ht="45.0" customHeight="1">
      <c r="A32" s="80">
        <v>5.0</v>
      </c>
      <c r="B32" s="28" t="str">
        <f>IFERROR(__xludf.DUMMYFUNCTION("IFERROR(INDEX(FILTER('Contenido Curricular'!$B$4:$B$100, 'Contenido Curricular'!$F$4:$F$100=4), 5), """")"),"")</f>
        <v/>
      </c>
      <c r="C32" s="8"/>
      <c r="D32" s="28" t="str">
        <f>IFERROR(__xludf.DUMMYFUNCTION("IFERROR(INDEX(FILTER('Contenido Curricular'!$C$4:$C$100, 'Contenido Curricular'!$F$4:$F$100=4), 5), """")"),"")</f>
        <v/>
      </c>
      <c r="E32" s="8"/>
      <c r="F32" s="28" t="str">
        <f>IFERROR(__xludf.DUMMYFUNCTION("IFERROR(INDEX(FILTER('Contenido Curricular'!$D$4:$D$100, 'Contenido Curricular'!$F$4:$F$100=4), 5), """")"),"")</f>
        <v/>
      </c>
      <c r="G32" s="7"/>
      <c r="H32" s="8"/>
    </row>
    <row r="33" ht="45.0" customHeight="1">
      <c r="A33" s="80">
        <v>6.0</v>
      </c>
      <c r="B33" s="28" t="str">
        <f>IFERROR(__xludf.DUMMYFUNCTION("IFERROR(INDEX(FILTER('Contenido Curricular'!$B$4:$B$100, 'Contenido Curricular'!$F$4:$F$100=4), 6), """")"),"")</f>
        <v/>
      </c>
      <c r="C33" s="8"/>
      <c r="D33" s="28" t="str">
        <f>IFERROR(__xludf.DUMMYFUNCTION("IFERROR(INDEX(FILTER('Contenido Curricular'!$C$4:$C$100, 'Contenido Curricular'!$F$4:$F$100=4), 6), """")"),"")</f>
        <v/>
      </c>
      <c r="E33" s="8"/>
      <c r="F33" s="28" t="str">
        <f>IFERROR(__xludf.DUMMYFUNCTION("IFERROR(INDEX(FILTER('Contenido Curricular'!$D$4:$D$100, 'Contenido Curricular'!$F$4:$F$100=4), 6), """")"),"")</f>
        <v/>
      </c>
      <c r="G33" s="7"/>
      <c r="H33" s="8"/>
    </row>
    <row r="34" ht="45.0" customHeight="1">
      <c r="A34" s="80">
        <v>7.0</v>
      </c>
      <c r="B34" s="28" t="str">
        <f>IFERROR(__xludf.DUMMYFUNCTION("IFERROR(INDEX(FILTER('Contenido Curricular'!$B$4:$B$100, 'Contenido Curricular'!$F$4:$F$100=4), 7), """")"),"")</f>
        <v/>
      </c>
      <c r="C34" s="8"/>
      <c r="D34" s="28" t="str">
        <f>IFERROR(__xludf.DUMMYFUNCTION("IFERROR(INDEX(FILTER('Contenido Curricular'!$C$4:$C$100, 'Contenido Curricular'!$F$4:$F$100=4), 7), """")"),"")</f>
        <v/>
      </c>
      <c r="E34" s="8"/>
      <c r="F34" s="28" t="str">
        <f>IFERROR(__xludf.DUMMYFUNCTION("IFERROR(INDEX(FILTER('Contenido Curricular'!$D$4:$D$100, 'Contenido Curricular'!$F$4:$F$100=4), 7), """")"),"")</f>
        <v/>
      </c>
      <c r="G34" s="7"/>
      <c r="H34" s="8"/>
    </row>
    <row r="35" ht="45.0" customHeight="1">
      <c r="A35" s="80">
        <v>8.0</v>
      </c>
      <c r="B35" s="28" t="str">
        <f>IFERROR(__xludf.DUMMYFUNCTION("IFERROR(INDEX(FILTER('Contenido Curricular'!$B$4:$B$100, 'Contenido Curricular'!$F$4:$F$100=4), 8), """")"),"")</f>
        <v/>
      </c>
      <c r="C35" s="8"/>
      <c r="D35" s="28" t="str">
        <f>IFERROR(__xludf.DUMMYFUNCTION("IFERROR(INDEX(FILTER('Contenido Curricular'!$C$4:$C$100, 'Contenido Curricular'!$F$4:$F$100=4), 8), """")"),"")</f>
        <v/>
      </c>
      <c r="E35" s="8"/>
      <c r="F35" s="28" t="str">
        <f>IFERROR(__xludf.DUMMYFUNCTION("IFERROR(INDEX(FILTER('Contenido Curricular'!$D$4:$D$100, 'Contenido Curricular'!$F$4:$F$100=4), 8), """")"),"")</f>
        <v/>
      </c>
      <c r="G35" s="7"/>
      <c r="H35" s="8"/>
    </row>
    <row r="36" ht="45.0" customHeight="1">
      <c r="A36" s="80">
        <v>9.0</v>
      </c>
      <c r="B36" s="28" t="str">
        <f>IFERROR(__xludf.DUMMYFUNCTION("IFERROR(INDEX(FILTER('Contenido Curricular'!$B$4:$B$100, 'Contenido Curricular'!$F$4:$F$100=4), 9), """")"),"")</f>
        <v/>
      </c>
      <c r="C36" s="8"/>
      <c r="D36" s="28" t="str">
        <f>IFERROR(__xludf.DUMMYFUNCTION("IFERROR(INDEX(FILTER('Contenido Curricular'!$C$4:$C$100, 'Contenido Curricular'!$F$4:$F$100=4), 9), """")"),"")</f>
        <v/>
      </c>
      <c r="E36" s="8"/>
      <c r="F36" s="28" t="str">
        <f>IFERROR(__xludf.DUMMYFUNCTION("IFERROR(INDEX(FILTER('Contenido Curricular'!$D$4:$D$100, 'Contenido Curricular'!$F$4:$F$100=4), 9), """")"),"")</f>
        <v/>
      </c>
      <c r="G36" s="7"/>
      <c r="H36" s="8"/>
    </row>
    <row r="37" ht="45.0" customHeight="1">
      <c r="A37" s="80">
        <v>10.0</v>
      </c>
      <c r="B37" s="28" t="str">
        <f>IFERROR(__xludf.DUMMYFUNCTION("IFERROR(INDEX(FILTER('Contenido Curricular'!$B$4:$B$100, 'Contenido Curricular'!$F$4:$F$100=4), 10), """")"),"")</f>
        <v/>
      </c>
      <c r="C37" s="8"/>
      <c r="D37" s="28" t="str">
        <f>IFERROR(__xludf.DUMMYFUNCTION("IFERROR(INDEX(FILTER('Contenido Curricular'!$C$4:$C$100, 'Contenido Curricular'!$F$4:$F$100=4), 10), """")"),"")</f>
        <v/>
      </c>
      <c r="E37" s="8"/>
      <c r="F37" s="28" t="str">
        <f>IFERROR(__xludf.DUMMYFUNCTION("IFERROR(INDEX(FILTER('Contenido Curricular'!$D$4:$D$100, 'Contenido Curricular'!$F$4:$F$100=4),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105</v>
      </c>
      <c r="C48" s="7"/>
      <c r="D48" s="7"/>
      <c r="E48" s="7"/>
      <c r="F48" s="7"/>
      <c r="G48" s="7"/>
      <c r="H48" s="8"/>
    </row>
    <row r="49" ht="15.75" customHeight="1">
      <c r="A49" s="76" t="s">
        <v>6</v>
      </c>
      <c r="B49" s="25" t="s">
        <v>193</v>
      </c>
      <c r="C49" s="7"/>
      <c r="D49" s="7"/>
      <c r="E49" s="7"/>
      <c r="F49" s="7"/>
      <c r="G49" s="7"/>
      <c r="H49" s="8"/>
    </row>
    <row r="50" ht="15.75" customHeight="1">
      <c r="A50" s="76" t="s">
        <v>160</v>
      </c>
      <c r="B50" s="60">
        <v>5.0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211</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5.0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212</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213</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214</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105</v>
      </c>
      <c r="C23" s="7"/>
      <c r="D23" s="7"/>
      <c r="E23" s="7"/>
      <c r="F23" s="7"/>
      <c r="G23" s="7"/>
      <c r="H23" s="8"/>
    </row>
    <row r="24" ht="15.75" customHeight="1">
      <c r="A24" s="76" t="s">
        <v>172</v>
      </c>
      <c r="B24" s="25" t="s">
        <v>101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Curricular'!$F$4:$F$100=5), 1), """")"),"2. Java Básico")</f>
        <v>2. Java Básico</v>
      </c>
      <c r="C28" s="8"/>
      <c r="D28" s="28" t="str">
        <f>IFERROR(__xludf.DUMMYFUNCTION("IFERROR(INDEX(FILTER('Contenido Curricular'!$C$4:$C$100, 'Contenido Curricular'!$F$4:$F$100=5), 1), """")"),"Estructuras")</f>
        <v>Estructuras</v>
      </c>
      <c r="E28" s="8"/>
      <c r="F28" s="28" t="str">
        <f>IFERROR(__xludf.DUMMYFUNCTION("IFERROR(INDEX(FILTER('Contenido Curricular'!$D$4:$D$100, 'Contenido Curricular'!$F$4:$F$100=5), 1), """")"),"Ciclos y Arreglos")</f>
        <v>Ciclos y Arreglos</v>
      </c>
      <c r="G28" s="7"/>
      <c r="H28" s="8"/>
    </row>
    <row r="29" ht="45.0" customHeight="1">
      <c r="A29" s="80">
        <v>2.0</v>
      </c>
      <c r="B29" s="28" t="str">
        <f>IFERROR(__xludf.DUMMYFUNCTION("IFERROR(INDEX(FILTER('Contenido Curricular'!$B$4:$B$100, 'Contenido Curricular'!$F$4:$F$100=5), 2), """")"),"")</f>
        <v/>
      </c>
      <c r="C29" s="8"/>
      <c r="D29" s="28" t="str">
        <f>IFERROR(__xludf.DUMMYFUNCTION("IFERROR(INDEX(FILTER('Contenido Curricular'!$C$4:$C$100, 'Contenido Curricular'!$F$4:$F$100=5), 2), """")"),"")</f>
        <v/>
      </c>
      <c r="E29" s="8"/>
      <c r="F29" s="28" t="str">
        <f>IFERROR(__xludf.DUMMYFUNCTION("IFERROR(INDEX(FILTER('Contenido Curricular'!$D$4:$D$100, 'Contenido Curricular'!$F$4:$F$100=5), 2), """")"),"")</f>
        <v/>
      </c>
      <c r="G29" s="7"/>
      <c r="H29" s="8"/>
    </row>
    <row r="30" ht="45.0" customHeight="1">
      <c r="A30" s="80">
        <v>3.0</v>
      </c>
      <c r="B30" s="28" t="str">
        <f>IFERROR(__xludf.DUMMYFUNCTION("IFERROR(INDEX(FILTER('Contenido Curricular'!$B$4:$B$100, 'Contenido Curricular'!$F$4:$F$100=5), 3), """")"),"")</f>
        <v/>
      </c>
      <c r="C30" s="8"/>
      <c r="D30" s="28" t="str">
        <f>IFERROR(__xludf.DUMMYFUNCTION("IFERROR(INDEX(FILTER('Contenido Curricular'!$C$4:$C$100, 'Contenido Curricular'!$F$4:$F$100=5), 3), """")"),"")</f>
        <v/>
      </c>
      <c r="E30" s="8"/>
      <c r="F30" s="28" t="str">
        <f>IFERROR(__xludf.DUMMYFUNCTION("IFERROR(INDEX(FILTER('Contenido Curricular'!$D$4:$D$100, 'Contenido Curricular'!$F$4:$F$100=5), 3), """")"),"")</f>
        <v/>
      </c>
      <c r="G30" s="7"/>
      <c r="H30" s="8"/>
    </row>
    <row r="31" ht="45.0" customHeight="1">
      <c r="A31" s="80">
        <v>4.0</v>
      </c>
      <c r="B31" s="28" t="str">
        <f>IFERROR(__xludf.DUMMYFUNCTION("IFERROR(INDEX(FILTER('Contenido Curricular'!$B$4:$B$100, 'Contenido Curricular'!$F$4:$F$100=5), 4), """")"),"")</f>
        <v/>
      </c>
      <c r="C31" s="8"/>
      <c r="D31" s="28" t="str">
        <f>IFERROR(__xludf.DUMMYFUNCTION("IFERROR(INDEX(FILTER('Contenido Curricular'!$C$4:$C$100, 'Contenido Curricular'!$F$4:$F$100=5), 4), """")"),"")</f>
        <v/>
      </c>
      <c r="E31" s="8"/>
      <c r="F31" s="28" t="str">
        <f>IFERROR(__xludf.DUMMYFUNCTION("IFERROR(INDEX(FILTER('Contenido Curricular'!$D$4:$D$100, 'Contenido Curricular'!$F$4:$F$100=5), 4), """")"),"")</f>
        <v/>
      </c>
      <c r="G31" s="7"/>
      <c r="H31" s="8"/>
    </row>
    <row r="32" ht="45.0" customHeight="1">
      <c r="A32" s="80">
        <v>5.0</v>
      </c>
      <c r="B32" s="28" t="str">
        <f>IFERROR(__xludf.DUMMYFUNCTION("IFERROR(INDEX(FILTER('Contenido Curricular'!$B$4:$B$100, 'Contenido Curricular'!$F$4:$F$100=5), 5), """")"),"")</f>
        <v/>
      </c>
      <c r="C32" s="8"/>
      <c r="D32" s="28" t="str">
        <f>IFERROR(__xludf.DUMMYFUNCTION("IFERROR(INDEX(FILTER('Contenido Curricular'!$C$4:$C$100, 'Contenido Curricular'!$F$4:$F$100=5), 5), """")"),"")</f>
        <v/>
      </c>
      <c r="E32" s="8"/>
      <c r="F32" s="28" t="str">
        <f>IFERROR(__xludf.DUMMYFUNCTION("IFERROR(INDEX(FILTER('Contenido Curricular'!$D$4:$D$100, 'Contenido Curricular'!$F$4:$F$100=5), 5), """")"),"")</f>
        <v/>
      </c>
      <c r="G32" s="7"/>
      <c r="H32" s="8"/>
    </row>
    <row r="33" ht="45.0" customHeight="1">
      <c r="A33" s="80">
        <v>6.0</v>
      </c>
      <c r="B33" s="28" t="str">
        <f>IFERROR(__xludf.DUMMYFUNCTION("IFERROR(INDEX(FILTER('Contenido Curricular'!$B$4:$B$100, 'Contenido Curricular'!$F$4:$F$100=5), 6), """")"),"")</f>
        <v/>
      </c>
      <c r="C33" s="8"/>
      <c r="D33" s="28" t="str">
        <f>IFERROR(__xludf.DUMMYFUNCTION("IFERROR(INDEX(FILTER('Contenido Curricular'!$C$4:$C$100, 'Contenido Curricular'!$F$4:$F$100=5), 6), """")"),"")</f>
        <v/>
      </c>
      <c r="E33" s="8"/>
      <c r="F33" s="28" t="str">
        <f>IFERROR(__xludf.DUMMYFUNCTION("IFERROR(INDEX(FILTER('Contenido Curricular'!$D$4:$D$100, 'Contenido Curricular'!$F$4:$F$100=5), 6), """")"),"")</f>
        <v/>
      </c>
      <c r="G33" s="7"/>
      <c r="H33" s="8"/>
    </row>
    <row r="34" ht="45.0" customHeight="1">
      <c r="A34" s="80">
        <v>7.0</v>
      </c>
      <c r="B34" s="28" t="str">
        <f>IFERROR(__xludf.DUMMYFUNCTION("IFERROR(INDEX(FILTER('Contenido Curricular'!$B$4:$B$100, 'Contenido Curricular'!$F$4:$F$100=5), 7), """")"),"")</f>
        <v/>
      </c>
      <c r="C34" s="8"/>
      <c r="D34" s="28" t="str">
        <f>IFERROR(__xludf.DUMMYFUNCTION("IFERROR(INDEX(FILTER('Contenido Curricular'!$C$4:$C$100, 'Contenido Curricular'!$F$4:$F$100=5), 7), """")"),"")</f>
        <v/>
      </c>
      <c r="E34" s="8"/>
      <c r="F34" s="28" t="str">
        <f>IFERROR(__xludf.DUMMYFUNCTION("IFERROR(INDEX(FILTER('Contenido Curricular'!$D$4:$D$100, 'Contenido Curricular'!$F$4:$F$100=5), 7), """")"),"")</f>
        <v/>
      </c>
      <c r="G34" s="7"/>
      <c r="H34" s="8"/>
    </row>
    <row r="35" ht="45.0" customHeight="1">
      <c r="A35" s="80">
        <v>8.0</v>
      </c>
      <c r="B35" s="28" t="str">
        <f>IFERROR(__xludf.DUMMYFUNCTION("IFERROR(INDEX(FILTER('Contenido Curricular'!$B$4:$B$100, 'Contenido Curricular'!$F$4:$F$100=5), 8), """")"),"")</f>
        <v/>
      </c>
      <c r="C35" s="8"/>
      <c r="D35" s="28" t="str">
        <f>IFERROR(__xludf.DUMMYFUNCTION("IFERROR(INDEX(FILTER('Contenido Curricular'!$C$4:$C$100, 'Contenido Curricular'!$F$4:$F$100=5), 8), """")"),"")</f>
        <v/>
      </c>
      <c r="E35" s="8"/>
      <c r="F35" s="28" t="str">
        <f>IFERROR(__xludf.DUMMYFUNCTION("IFERROR(INDEX(FILTER('Contenido Curricular'!$D$4:$D$100, 'Contenido Curricular'!$F$4:$F$100=5), 8), """")"),"")</f>
        <v/>
      </c>
      <c r="G35" s="7"/>
      <c r="H35" s="8"/>
    </row>
    <row r="36" ht="45.0" customHeight="1">
      <c r="A36" s="80">
        <v>9.0</v>
      </c>
      <c r="B36" s="28" t="str">
        <f>IFERROR(__xludf.DUMMYFUNCTION("IFERROR(INDEX(FILTER('Contenido Curricular'!$B$4:$B$100, 'Contenido Curricular'!$F$4:$F$100=5), 9), """")"),"")</f>
        <v/>
      </c>
      <c r="C36" s="8"/>
      <c r="D36" s="28" t="str">
        <f>IFERROR(__xludf.DUMMYFUNCTION("IFERROR(INDEX(FILTER('Contenido Curricular'!$C$4:$C$100, 'Contenido Curricular'!$F$4:$F$100=5), 9), """")"),"")</f>
        <v/>
      </c>
      <c r="E36" s="8"/>
      <c r="F36" s="28" t="str">
        <f>IFERROR(__xludf.DUMMYFUNCTION("IFERROR(INDEX(FILTER('Contenido Curricular'!$D$4:$D$100, 'Contenido Curricular'!$F$4:$F$100=5), 9), """")"),"")</f>
        <v/>
      </c>
      <c r="G36" s="7"/>
      <c r="H36" s="8"/>
    </row>
    <row r="37" ht="45.0" customHeight="1">
      <c r="A37" s="80">
        <v>10.0</v>
      </c>
      <c r="B37" s="28" t="str">
        <f>IFERROR(__xludf.DUMMYFUNCTION("IFERROR(INDEX(FILTER('Contenido Curricular'!$B$4:$B$100, 'Contenido Curricular'!$F$4:$F$100=5), 10), """")"),"")</f>
        <v/>
      </c>
      <c r="C37" s="8"/>
      <c r="D37" s="28" t="str">
        <f>IFERROR(__xludf.DUMMYFUNCTION("IFERROR(INDEX(FILTER('Contenido Curricular'!$C$4:$C$100, 'Contenido Curricular'!$F$4:$F$100=5), 10), """")"),"")</f>
        <v/>
      </c>
      <c r="E37" s="8"/>
      <c r="F37" s="28" t="str">
        <f>IFERROR(__xludf.DUMMYFUNCTION("IFERROR(INDEX(FILTER('Contenido Curricular'!$D$4:$D$100, 'Contenido Curricular'!$F$4:$F$100=5),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105</v>
      </c>
      <c r="C48" s="7"/>
      <c r="D48" s="7"/>
      <c r="E48" s="7"/>
      <c r="F48" s="7"/>
      <c r="G48" s="7"/>
      <c r="H48" s="8"/>
    </row>
    <row r="49" ht="15.75" customHeight="1">
      <c r="A49" s="76" t="s">
        <v>6</v>
      </c>
      <c r="B49" s="25" t="s">
        <v>193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215</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6.0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216</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217</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218</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81</v>
      </c>
      <c r="C23" s="7"/>
      <c r="D23" s="7"/>
      <c r="E23" s="7"/>
      <c r="F23" s="7"/>
      <c r="G23" s="7"/>
      <c r="H23" s="8"/>
    </row>
    <row r="24" ht="15.75" customHeight="1">
      <c r="A24" s="76" t="s">
        <v>172</v>
      </c>
      <c r="B24" s="25" t="s">
        <v>105</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Curricular'!$F$4:$F$100=6), 1), """")"),"3. Avanzado")</f>
        <v>3. Avanzado</v>
      </c>
      <c r="C28" s="8"/>
      <c r="D28" s="28" t="str">
        <f>IFERROR(__xludf.DUMMYFUNCTION("IFERROR(INDEX(FILTER('Contenido Curricular'!$C$4:$C$100, 'Contenido Curricular'!$F$4:$F$100=6), 1), """")"),"Recursividad")</f>
        <v>Recursividad</v>
      </c>
      <c r="E28" s="8"/>
      <c r="F28" s="28" t="str">
        <f>IFERROR(__xludf.DUMMYFUNCTION("IFERROR(INDEX(FILTER('Contenido Curricular'!$D$4:$D$100, 'Contenido Curricular'!$F$4:$F$100=6), 1), """")"),"Pila de ejecución y Archivos")</f>
        <v>Pila de ejecución y Archivos</v>
      </c>
      <c r="G28" s="7"/>
      <c r="H28" s="8"/>
    </row>
    <row r="29" ht="45.0" customHeight="1">
      <c r="A29" s="80">
        <v>2.0</v>
      </c>
      <c r="B29" s="28" t="str">
        <f>IFERROR(__xludf.DUMMYFUNCTION("IFERROR(INDEX(FILTER('Contenido Curricular'!$B$4:$B$100, 'Contenido Curricular'!$F$4:$F$100=6), 2), """")"),"")</f>
        <v/>
      </c>
      <c r="C29" s="8"/>
      <c r="D29" s="28" t="str">
        <f>IFERROR(__xludf.DUMMYFUNCTION("IFERROR(INDEX(FILTER('Contenido Curricular'!$C$4:$C$100, 'Contenido Curricular'!$F$4:$F$100=6), 2), """")"),"")</f>
        <v/>
      </c>
      <c r="E29" s="8"/>
      <c r="F29" s="28" t="str">
        <f>IFERROR(__xludf.DUMMYFUNCTION("IFERROR(INDEX(FILTER('Contenido Curricular'!$D$4:$D$100, 'Contenido Curricular'!$F$4:$F$100=6), 2), """")"),"")</f>
        <v/>
      </c>
      <c r="G29" s="7"/>
      <c r="H29" s="8"/>
    </row>
    <row r="30" ht="45.0" customHeight="1">
      <c r="A30" s="80">
        <v>3.0</v>
      </c>
      <c r="B30" s="28" t="str">
        <f>IFERROR(__xludf.DUMMYFUNCTION("IFERROR(INDEX(FILTER('Contenido Curricular'!$B$4:$B$100, 'Contenido Curricular'!$F$4:$F$100=6), 3), """")"),"")</f>
        <v/>
      </c>
      <c r="C30" s="8"/>
      <c r="D30" s="28" t="str">
        <f>IFERROR(__xludf.DUMMYFUNCTION("IFERROR(INDEX(FILTER('Contenido Curricular'!$C$4:$C$100, 'Contenido Curricular'!$F$4:$F$100=6), 3), """")"),"")</f>
        <v/>
      </c>
      <c r="E30" s="8"/>
      <c r="F30" s="28" t="str">
        <f>IFERROR(__xludf.DUMMYFUNCTION("IFERROR(INDEX(FILTER('Contenido Curricular'!$D$4:$D$100, 'Contenido Curricular'!$F$4:$F$100=6), 3), """")"),"")</f>
        <v/>
      </c>
      <c r="G30" s="7"/>
      <c r="H30" s="8"/>
    </row>
    <row r="31" ht="45.0" customHeight="1">
      <c r="A31" s="80">
        <v>4.0</v>
      </c>
      <c r="B31" s="28" t="str">
        <f>IFERROR(__xludf.DUMMYFUNCTION("IFERROR(INDEX(FILTER('Contenido Curricular'!$B$4:$B$100, 'Contenido Curricular'!$F$4:$F$100=6), 4), """")"),"")</f>
        <v/>
      </c>
      <c r="C31" s="8"/>
      <c r="D31" s="28" t="str">
        <f>IFERROR(__xludf.DUMMYFUNCTION("IFERROR(INDEX(FILTER('Contenido Curricular'!$C$4:$C$100, 'Contenido Curricular'!$F$4:$F$100=6), 4), """")"),"")</f>
        <v/>
      </c>
      <c r="E31" s="8"/>
      <c r="F31" s="28" t="str">
        <f>IFERROR(__xludf.DUMMYFUNCTION("IFERROR(INDEX(FILTER('Contenido Curricular'!$D$4:$D$100, 'Contenido Curricular'!$F$4:$F$100=6), 4), """")"),"")</f>
        <v/>
      </c>
      <c r="G31" s="7"/>
      <c r="H31" s="8"/>
    </row>
    <row r="32" ht="45.0" customHeight="1">
      <c r="A32" s="80">
        <v>5.0</v>
      </c>
      <c r="B32" s="28" t="str">
        <f>IFERROR(__xludf.DUMMYFUNCTION("IFERROR(INDEX(FILTER('Contenido Curricular'!$B$4:$B$100, 'Contenido Curricular'!$F$4:$F$100=6), 5), """")"),"")</f>
        <v/>
      </c>
      <c r="C32" s="8"/>
      <c r="D32" s="28" t="str">
        <f>IFERROR(__xludf.DUMMYFUNCTION("IFERROR(INDEX(FILTER('Contenido Curricular'!$C$4:$C$100, 'Contenido Curricular'!$F$4:$F$100=6), 5), """")"),"")</f>
        <v/>
      </c>
      <c r="E32" s="8"/>
      <c r="F32" s="28" t="str">
        <f>IFERROR(__xludf.DUMMYFUNCTION("IFERROR(INDEX(FILTER('Contenido Curricular'!$D$4:$D$100, 'Contenido Curricular'!$F$4:$F$100=6), 5), """")"),"")</f>
        <v/>
      </c>
      <c r="G32" s="7"/>
      <c r="H32" s="8"/>
    </row>
    <row r="33" ht="45.0" customHeight="1">
      <c r="A33" s="80">
        <v>6.0</v>
      </c>
      <c r="B33" s="28" t="str">
        <f>IFERROR(__xludf.DUMMYFUNCTION("IFERROR(INDEX(FILTER('Contenido Curricular'!$B$4:$B$100, 'Contenido Curricular'!$F$4:$F$100=6), 6), """")"),"")</f>
        <v/>
      </c>
      <c r="C33" s="8"/>
      <c r="D33" s="28" t="str">
        <f>IFERROR(__xludf.DUMMYFUNCTION("IFERROR(INDEX(FILTER('Contenido Curricular'!$C$4:$C$100, 'Contenido Curricular'!$F$4:$F$100=6), 6), """")"),"")</f>
        <v/>
      </c>
      <c r="E33" s="8"/>
      <c r="F33" s="28" t="str">
        <f>IFERROR(__xludf.DUMMYFUNCTION("IFERROR(INDEX(FILTER('Contenido Curricular'!$D$4:$D$100, 'Contenido Curricular'!$F$4:$F$100=6), 6), """")"),"")</f>
        <v/>
      </c>
      <c r="G33" s="7"/>
      <c r="H33" s="8"/>
    </row>
    <row r="34" ht="45.0" customHeight="1">
      <c r="A34" s="80">
        <v>7.0</v>
      </c>
      <c r="B34" s="28" t="str">
        <f>IFERROR(__xludf.DUMMYFUNCTION("IFERROR(INDEX(FILTER('Contenido Curricular'!$B$4:$B$100, 'Contenido Curricular'!$F$4:$F$100=6), 7), """")"),"")</f>
        <v/>
      </c>
      <c r="C34" s="8"/>
      <c r="D34" s="28" t="str">
        <f>IFERROR(__xludf.DUMMYFUNCTION("IFERROR(INDEX(FILTER('Contenido Curricular'!$C$4:$C$100, 'Contenido Curricular'!$F$4:$F$100=6), 7), """")"),"")</f>
        <v/>
      </c>
      <c r="E34" s="8"/>
      <c r="F34" s="28" t="str">
        <f>IFERROR(__xludf.DUMMYFUNCTION("IFERROR(INDEX(FILTER('Contenido Curricular'!$D$4:$D$100, 'Contenido Curricular'!$F$4:$F$100=6), 7), """")"),"")</f>
        <v/>
      </c>
      <c r="G34" s="7"/>
      <c r="H34" s="8"/>
    </row>
    <row r="35" ht="45.0" customHeight="1">
      <c r="A35" s="80">
        <v>8.0</v>
      </c>
      <c r="B35" s="28" t="str">
        <f>IFERROR(__xludf.DUMMYFUNCTION("IFERROR(INDEX(FILTER('Contenido Curricular'!$B$4:$B$100, 'Contenido Curricular'!$F$4:$F$100=6), 8), """")"),"")</f>
        <v/>
      </c>
      <c r="C35" s="8"/>
      <c r="D35" s="28" t="str">
        <f>IFERROR(__xludf.DUMMYFUNCTION("IFERROR(INDEX(FILTER('Contenido Curricular'!$C$4:$C$100, 'Contenido Curricular'!$F$4:$F$100=6), 8), """")"),"")</f>
        <v/>
      </c>
      <c r="E35" s="8"/>
      <c r="F35" s="28" t="str">
        <f>IFERROR(__xludf.DUMMYFUNCTION("IFERROR(INDEX(FILTER('Contenido Curricular'!$D$4:$D$100, 'Contenido Curricular'!$F$4:$F$100=6), 8), """")"),"")</f>
        <v/>
      </c>
      <c r="G35" s="7"/>
      <c r="H35" s="8"/>
    </row>
    <row r="36" ht="45.0" customHeight="1">
      <c r="A36" s="80">
        <v>9.0</v>
      </c>
      <c r="B36" s="28" t="str">
        <f>IFERROR(__xludf.DUMMYFUNCTION("IFERROR(INDEX(FILTER('Contenido Curricular'!$B$4:$B$100, 'Contenido Curricular'!$F$4:$F$100=6), 9), """")"),"")</f>
        <v/>
      </c>
      <c r="C36" s="8"/>
      <c r="D36" s="28" t="str">
        <f>IFERROR(__xludf.DUMMYFUNCTION("IFERROR(INDEX(FILTER('Contenido Curricular'!$C$4:$C$100, 'Contenido Curricular'!$F$4:$F$100=6), 9), """")"),"")</f>
        <v/>
      </c>
      <c r="E36" s="8"/>
      <c r="F36" s="28" t="str">
        <f>IFERROR(__xludf.DUMMYFUNCTION("IFERROR(INDEX(FILTER('Contenido Curricular'!$D$4:$D$100, 'Contenido Curricular'!$F$4:$F$100=6), 9), """")"),"")</f>
        <v/>
      </c>
      <c r="G36" s="7"/>
      <c r="H36" s="8"/>
    </row>
    <row r="37" ht="45.0" customHeight="1">
      <c r="A37" s="80">
        <v>10.0</v>
      </c>
      <c r="B37" s="28" t="str">
        <f>IFERROR(__xludf.DUMMYFUNCTION("IFERROR(INDEX(FILTER('Contenido Curricular'!$B$4:$B$100, 'Contenido Curricular'!$F$4:$F$100=6), 10), """")"),"")</f>
        <v/>
      </c>
      <c r="C37" s="8"/>
      <c r="D37" s="28" t="str">
        <f>IFERROR(__xludf.DUMMYFUNCTION("IFERROR(INDEX(FILTER('Contenido Curricular'!$C$4:$C$100, 'Contenido Curricular'!$F$4:$F$100=6), 10), """")"),"")</f>
        <v/>
      </c>
      <c r="E37" s="8"/>
      <c r="F37" s="28" t="str">
        <f>IFERROR(__xludf.DUMMYFUNCTION("IFERROR(INDEX(FILTER('Contenido Curricular'!$D$4:$D$100, 'Contenido Curricular'!$F$4:$F$100=6),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105</v>
      </c>
      <c r="C48" s="7"/>
      <c r="D48" s="7"/>
      <c r="E48" s="7"/>
      <c r="F48" s="7"/>
      <c r="G48" s="7"/>
      <c r="H48" s="8"/>
    </row>
    <row r="49" ht="15.75" customHeight="1">
      <c r="A49" s="76" t="s">
        <v>6</v>
      </c>
      <c r="B49" s="25" t="s">
        <v>193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219</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7.0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220</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221</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222</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101</v>
      </c>
      <c r="C23" s="7"/>
      <c r="D23" s="7"/>
      <c r="E23" s="7"/>
      <c r="F23" s="7"/>
      <c r="G23" s="7"/>
      <c r="H23" s="8"/>
    </row>
    <row r="24" ht="15.75" customHeight="1">
      <c r="A24" s="76" t="s">
        <v>172</v>
      </c>
      <c r="B24" s="25" t="s">
        <v>81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Curricular'!$F$4:$F$100=7), 1), """")"),"4. POO")</f>
        <v>4. POO</v>
      </c>
      <c r="C28" s="8"/>
      <c r="D28" s="28" t="str">
        <f>IFERROR(__xludf.DUMMYFUNCTION("IFERROR(INDEX(FILTER('Contenido Curricular'!$C$4:$C$100, 'Contenido Curricular'!$F$4:$F$100=7), 1), """")"),"Fundamentos")</f>
        <v>Fundamentos</v>
      </c>
      <c r="E28" s="8"/>
      <c r="F28" s="28" t="str">
        <f>IFERROR(__xludf.DUMMYFUNCTION("IFERROR(INDEX(FILTER('Contenido Curricular'!$D$4:$D$100, 'Contenido Curricular'!$F$4:$F$100=7), 1), """")"),"Clases, Objetos y Pilares")</f>
        <v>Clases, Objetos y Pilares</v>
      </c>
      <c r="G28" s="7"/>
      <c r="H28" s="8"/>
    </row>
    <row r="29" ht="45.0" customHeight="1">
      <c r="A29" s="80">
        <v>2.0</v>
      </c>
      <c r="B29" s="28" t="str">
        <f>IFERROR(__xludf.DUMMYFUNCTION("IFERROR(INDEX(FILTER('Contenido Curricular'!$B$4:$B$100, 'Contenido Curricular'!$F$4:$F$100=7), 2), """")"),"")</f>
        <v/>
      </c>
      <c r="C29" s="8"/>
      <c r="D29" s="28" t="str">
        <f>IFERROR(__xludf.DUMMYFUNCTION("IFERROR(INDEX(FILTER('Contenido Curricular'!$C$4:$C$100, 'Contenido Curricular'!$F$4:$F$100=7), 2), """")"),"")</f>
        <v/>
      </c>
      <c r="E29" s="8"/>
      <c r="F29" s="28" t="str">
        <f>IFERROR(__xludf.DUMMYFUNCTION("IFERROR(INDEX(FILTER('Contenido Curricular'!$D$4:$D$100, 'Contenido Curricular'!$F$4:$F$100=7), 2), """")"),"")</f>
        <v/>
      </c>
      <c r="G29" s="7"/>
      <c r="H29" s="8"/>
    </row>
    <row r="30" ht="45.0" customHeight="1">
      <c r="A30" s="80">
        <v>3.0</v>
      </c>
      <c r="B30" s="28" t="str">
        <f>IFERROR(__xludf.DUMMYFUNCTION("IFERROR(INDEX(FILTER('Contenido Curricular'!$B$4:$B$100, 'Contenido Curricular'!$F$4:$F$100=7), 3), """")"),"")</f>
        <v/>
      </c>
      <c r="C30" s="8"/>
      <c r="D30" s="28" t="str">
        <f>IFERROR(__xludf.DUMMYFUNCTION("IFERROR(INDEX(FILTER('Contenido Curricular'!$C$4:$C$100, 'Contenido Curricular'!$F$4:$F$100=7), 3), """")"),"")</f>
        <v/>
      </c>
      <c r="E30" s="8"/>
      <c r="F30" s="28" t="str">
        <f>IFERROR(__xludf.DUMMYFUNCTION("IFERROR(INDEX(FILTER('Contenido Curricular'!$D$4:$D$100, 'Contenido Curricular'!$F$4:$F$100=7), 3), """")"),"")</f>
        <v/>
      </c>
      <c r="G30" s="7"/>
      <c r="H30" s="8"/>
    </row>
    <row r="31" ht="45.0" customHeight="1">
      <c r="A31" s="80">
        <v>4.0</v>
      </c>
      <c r="B31" s="28" t="str">
        <f>IFERROR(__xludf.DUMMYFUNCTION("IFERROR(INDEX(FILTER('Contenido Curricular'!$B$4:$B$100, 'Contenido Curricular'!$F$4:$F$100=7), 4), """")"),"")</f>
        <v/>
      </c>
      <c r="C31" s="8"/>
      <c r="D31" s="28" t="str">
        <f>IFERROR(__xludf.DUMMYFUNCTION("IFERROR(INDEX(FILTER('Contenido Curricular'!$C$4:$C$100, 'Contenido Curricular'!$F$4:$F$100=7), 4), """")"),"")</f>
        <v/>
      </c>
      <c r="E31" s="8"/>
      <c r="F31" s="28" t="str">
        <f>IFERROR(__xludf.DUMMYFUNCTION("IFERROR(INDEX(FILTER('Contenido Curricular'!$D$4:$D$100, 'Contenido Curricular'!$F$4:$F$100=7), 4), """")"),"")</f>
        <v/>
      </c>
      <c r="G31" s="7"/>
      <c r="H31" s="8"/>
    </row>
    <row r="32" ht="45.0" customHeight="1">
      <c r="A32" s="80">
        <v>5.0</v>
      </c>
      <c r="B32" s="28" t="str">
        <f>IFERROR(__xludf.DUMMYFUNCTION("IFERROR(INDEX(FILTER('Contenido Curricular'!$B$4:$B$100, 'Contenido Curricular'!$F$4:$F$100=7), 5), """")"),"")</f>
        <v/>
      </c>
      <c r="C32" s="8"/>
      <c r="D32" s="28" t="str">
        <f>IFERROR(__xludf.DUMMYFUNCTION("IFERROR(INDEX(FILTER('Contenido Curricular'!$C$4:$C$100, 'Contenido Curricular'!$F$4:$F$100=7), 5), """")"),"")</f>
        <v/>
      </c>
      <c r="E32" s="8"/>
      <c r="F32" s="28" t="str">
        <f>IFERROR(__xludf.DUMMYFUNCTION("IFERROR(INDEX(FILTER('Contenido Curricular'!$D$4:$D$100, 'Contenido Curricular'!$F$4:$F$100=7), 5), """")"),"")</f>
        <v/>
      </c>
      <c r="G32" s="7"/>
      <c r="H32" s="8"/>
    </row>
    <row r="33" ht="45.0" customHeight="1">
      <c r="A33" s="80">
        <v>6.0</v>
      </c>
      <c r="B33" s="28" t="str">
        <f>IFERROR(__xludf.DUMMYFUNCTION("IFERROR(INDEX(FILTER('Contenido Curricular'!$B$4:$B$100, 'Contenido Curricular'!$F$4:$F$100=7), 6), """")"),"")</f>
        <v/>
      </c>
      <c r="C33" s="8"/>
      <c r="D33" s="28" t="str">
        <f>IFERROR(__xludf.DUMMYFUNCTION("IFERROR(INDEX(FILTER('Contenido Curricular'!$C$4:$C$100, 'Contenido Curricular'!$F$4:$F$100=7), 6), """")"),"")</f>
        <v/>
      </c>
      <c r="E33" s="8"/>
      <c r="F33" s="28" t="str">
        <f>IFERROR(__xludf.DUMMYFUNCTION("IFERROR(INDEX(FILTER('Contenido Curricular'!$D$4:$D$100, 'Contenido Curricular'!$F$4:$F$100=7), 6), """")"),"")</f>
        <v/>
      </c>
      <c r="G33" s="7"/>
      <c r="H33" s="8"/>
    </row>
    <row r="34" ht="45.0" customHeight="1">
      <c r="A34" s="80">
        <v>7.0</v>
      </c>
      <c r="B34" s="28" t="str">
        <f>IFERROR(__xludf.DUMMYFUNCTION("IFERROR(INDEX(FILTER('Contenido Curricular'!$B$4:$B$100, 'Contenido Curricular'!$F$4:$F$100=7), 7), """")"),"")</f>
        <v/>
      </c>
      <c r="C34" s="8"/>
      <c r="D34" s="28" t="str">
        <f>IFERROR(__xludf.DUMMYFUNCTION("IFERROR(INDEX(FILTER('Contenido Curricular'!$C$4:$C$100, 'Contenido Curricular'!$F$4:$F$100=7), 7), """")"),"")</f>
        <v/>
      </c>
      <c r="E34" s="8"/>
      <c r="F34" s="28" t="str">
        <f>IFERROR(__xludf.DUMMYFUNCTION("IFERROR(INDEX(FILTER('Contenido Curricular'!$D$4:$D$100, 'Contenido Curricular'!$F$4:$F$100=7), 7), """")"),"")</f>
        <v/>
      </c>
      <c r="G34" s="7"/>
      <c r="H34" s="8"/>
    </row>
    <row r="35" ht="45.0" customHeight="1">
      <c r="A35" s="80">
        <v>8.0</v>
      </c>
      <c r="B35" s="28" t="str">
        <f>IFERROR(__xludf.DUMMYFUNCTION("IFERROR(INDEX(FILTER('Contenido Curricular'!$B$4:$B$100, 'Contenido Curricular'!$F$4:$F$100=7), 8), """")"),"")</f>
        <v/>
      </c>
      <c r="C35" s="8"/>
      <c r="D35" s="28" t="str">
        <f>IFERROR(__xludf.DUMMYFUNCTION("IFERROR(INDEX(FILTER('Contenido Curricular'!$C$4:$C$100, 'Contenido Curricular'!$F$4:$F$100=7), 8), """")"),"")</f>
        <v/>
      </c>
      <c r="E35" s="8"/>
      <c r="F35" s="28" t="str">
        <f>IFERROR(__xludf.DUMMYFUNCTION("IFERROR(INDEX(FILTER('Contenido Curricular'!$D$4:$D$100, 'Contenido Curricular'!$F$4:$F$100=7), 8), """")"),"")</f>
        <v/>
      </c>
      <c r="G35" s="7"/>
      <c r="H35" s="8"/>
    </row>
    <row r="36" ht="45.0" customHeight="1">
      <c r="A36" s="80">
        <v>9.0</v>
      </c>
      <c r="B36" s="28" t="str">
        <f>IFERROR(__xludf.DUMMYFUNCTION("IFERROR(INDEX(FILTER('Contenido Curricular'!$B$4:$B$100, 'Contenido Curricular'!$F$4:$F$100=7), 9), """")"),"")</f>
        <v/>
      </c>
      <c r="C36" s="8"/>
      <c r="D36" s="28" t="str">
        <f>IFERROR(__xludf.DUMMYFUNCTION("IFERROR(INDEX(FILTER('Contenido Curricular'!$C$4:$C$100, 'Contenido Curricular'!$F$4:$F$100=7), 9), """")"),"")</f>
        <v/>
      </c>
      <c r="E36" s="8"/>
      <c r="F36" s="28" t="str">
        <f>IFERROR(__xludf.DUMMYFUNCTION("IFERROR(INDEX(FILTER('Contenido Curricular'!$D$4:$D$100, 'Contenido Curricular'!$F$4:$F$100=7), 9), """")"),"")</f>
        <v/>
      </c>
      <c r="G36" s="7"/>
      <c r="H36" s="8"/>
    </row>
    <row r="37" ht="45.0" customHeight="1">
      <c r="A37" s="80">
        <v>10.0</v>
      </c>
      <c r="B37" s="28" t="str">
        <f>IFERROR(__xludf.DUMMYFUNCTION("IFERROR(INDEX(FILTER('Contenido Curricular'!$B$4:$B$100, 'Contenido Curricular'!$F$4:$F$100=7), 10), """")"),"")</f>
        <v/>
      </c>
      <c r="C37" s="8"/>
      <c r="D37" s="28" t="str">
        <f>IFERROR(__xludf.DUMMYFUNCTION("IFERROR(INDEX(FILTER('Contenido Curricular'!$C$4:$C$100, 'Contenido Curricular'!$F$4:$F$100=7), 10), """")"),"")</f>
        <v/>
      </c>
      <c r="E37" s="8"/>
      <c r="F37" s="28" t="str">
        <f>IFERROR(__xludf.DUMMYFUNCTION("IFERROR(INDEX(FILTER('Contenido Curricular'!$D$4:$D$100, 'Contenido Curricular'!$F$4:$F$100=7),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101</v>
      </c>
      <c r="C48" s="7"/>
      <c r="D48" s="7"/>
      <c r="E48" s="7"/>
      <c r="F48" s="7"/>
      <c r="G48" s="7"/>
      <c r="H48" s="8"/>
    </row>
    <row r="49" ht="15.75" customHeight="1">
      <c r="A49" s="76" t="s">
        <v>6</v>
      </c>
      <c r="B49" s="25" t="s">
        <v>223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224</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8.0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225</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226</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227</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109</v>
      </c>
      <c r="C23" s="7"/>
      <c r="D23" s="7"/>
      <c r="E23" s="7"/>
      <c r="F23" s="7"/>
      <c r="G23" s="7"/>
      <c r="H23" s="8"/>
    </row>
    <row r="24" ht="15.75" customHeight="1">
      <c r="A24" s="76" t="s">
        <v>172</v>
      </c>
      <c r="B24" s="25" t="s">
        <v>101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Curricular'!$F$4:$F$100=8), 1), """")"),"5. GUI y MVC")</f>
        <v>5. GUI y MVC</v>
      </c>
      <c r="C28" s="8"/>
      <c r="D28" s="28" t="str">
        <f>IFERROR(__xludf.DUMMYFUNCTION("IFERROR(INDEX(FILTER('Contenido Curricular'!$C$4:$C$100, 'Contenido Curricular'!$F$4:$F$100=8), 1), """")"),"Arquitectura")</f>
        <v>Arquitectura</v>
      </c>
      <c r="E28" s="8"/>
      <c r="F28" s="28" t="str">
        <f>IFERROR(__xludf.DUMMYFUNCTION("IFERROR(INDEX(FILTER('Contenido Curricular'!$D$4:$D$100, 'Contenido Curricular'!$F$4:$F$100=8), 1), """")"),"Swing y Modelo-Vista-Controlador")</f>
        <v>Swing y Modelo-Vista-Controlador</v>
      </c>
      <c r="G28" s="7"/>
      <c r="H28" s="8"/>
    </row>
    <row r="29" ht="45.0" customHeight="1">
      <c r="A29" s="80">
        <v>2.0</v>
      </c>
      <c r="B29" s="28" t="str">
        <f>IFERROR(__xludf.DUMMYFUNCTION("IFERROR(INDEX(FILTER('Contenido Curricular'!$B$4:$B$100, 'Contenido Curricular'!$F$4:$F$100=8), 2), """")"),"")</f>
        <v/>
      </c>
      <c r="C29" s="8"/>
      <c r="D29" s="28" t="str">
        <f>IFERROR(__xludf.DUMMYFUNCTION("IFERROR(INDEX(FILTER('Contenido Curricular'!$C$4:$C$100, 'Contenido Curricular'!$F$4:$F$100=8), 2), """")"),"")</f>
        <v/>
      </c>
      <c r="E29" s="8"/>
      <c r="F29" s="28" t="str">
        <f>IFERROR(__xludf.DUMMYFUNCTION("IFERROR(INDEX(FILTER('Contenido Curricular'!$D$4:$D$100, 'Contenido Curricular'!$F$4:$F$100=8), 2), """")"),"")</f>
        <v/>
      </c>
      <c r="G29" s="7"/>
      <c r="H29" s="8"/>
    </row>
    <row r="30" ht="45.0" customHeight="1">
      <c r="A30" s="80">
        <v>3.0</v>
      </c>
      <c r="B30" s="28" t="str">
        <f>IFERROR(__xludf.DUMMYFUNCTION("IFERROR(INDEX(FILTER('Contenido Curricular'!$B$4:$B$100, 'Contenido Curricular'!$F$4:$F$100=8), 3), """")"),"")</f>
        <v/>
      </c>
      <c r="C30" s="8"/>
      <c r="D30" s="28" t="str">
        <f>IFERROR(__xludf.DUMMYFUNCTION("IFERROR(INDEX(FILTER('Contenido Curricular'!$C$4:$C$100, 'Contenido Curricular'!$F$4:$F$100=8), 3), """")"),"")</f>
        <v/>
      </c>
      <c r="E30" s="8"/>
      <c r="F30" s="28" t="str">
        <f>IFERROR(__xludf.DUMMYFUNCTION("IFERROR(INDEX(FILTER('Contenido Curricular'!$D$4:$D$100, 'Contenido Curricular'!$F$4:$F$100=8), 3), """")"),"")</f>
        <v/>
      </c>
      <c r="G30" s="7"/>
      <c r="H30" s="8"/>
    </row>
    <row r="31" ht="45.0" customHeight="1">
      <c r="A31" s="80">
        <v>4.0</v>
      </c>
      <c r="B31" s="28" t="str">
        <f>IFERROR(__xludf.DUMMYFUNCTION("IFERROR(INDEX(FILTER('Contenido Curricular'!$B$4:$B$100, 'Contenido Curricular'!$F$4:$F$100=8), 4), """")"),"")</f>
        <v/>
      </c>
      <c r="C31" s="8"/>
      <c r="D31" s="28" t="str">
        <f>IFERROR(__xludf.DUMMYFUNCTION("IFERROR(INDEX(FILTER('Contenido Curricular'!$C$4:$C$100, 'Contenido Curricular'!$F$4:$F$100=8), 4), """")"),"")</f>
        <v/>
      </c>
      <c r="E31" s="8"/>
      <c r="F31" s="28" t="str">
        <f>IFERROR(__xludf.DUMMYFUNCTION("IFERROR(INDEX(FILTER('Contenido Curricular'!$D$4:$D$100, 'Contenido Curricular'!$F$4:$F$100=8), 4), """")"),"")</f>
        <v/>
      </c>
      <c r="G31" s="7"/>
      <c r="H31" s="8"/>
    </row>
    <row r="32" ht="45.0" customHeight="1">
      <c r="A32" s="80">
        <v>5.0</v>
      </c>
      <c r="B32" s="28" t="str">
        <f>IFERROR(__xludf.DUMMYFUNCTION("IFERROR(INDEX(FILTER('Contenido Curricular'!$B$4:$B$100, 'Contenido Curricular'!$F$4:$F$100=8), 5), """")"),"")</f>
        <v/>
      </c>
      <c r="C32" s="8"/>
      <c r="D32" s="28" t="str">
        <f>IFERROR(__xludf.DUMMYFUNCTION("IFERROR(INDEX(FILTER('Contenido Curricular'!$C$4:$C$100, 'Contenido Curricular'!$F$4:$F$100=8), 5), """")"),"")</f>
        <v/>
      </c>
      <c r="E32" s="8"/>
      <c r="F32" s="28" t="str">
        <f>IFERROR(__xludf.DUMMYFUNCTION("IFERROR(INDEX(FILTER('Contenido Curricular'!$D$4:$D$100, 'Contenido Curricular'!$F$4:$F$100=8), 5), """")"),"")</f>
        <v/>
      </c>
      <c r="G32" s="7"/>
      <c r="H32" s="8"/>
    </row>
    <row r="33" ht="45.0" customHeight="1">
      <c r="A33" s="80">
        <v>6.0</v>
      </c>
      <c r="B33" s="28" t="str">
        <f>IFERROR(__xludf.DUMMYFUNCTION("IFERROR(INDEX(FILTER('Contenido Curricular'!$B$4:$B$100, 'Contenido Curricular'!$F$4:$F$100=8), 6), """")"),"")</f>
        <v/>
      </c>
      <c r="C33" s="8"/>
      <c r="D33" s="28" t="str">
        <f>IFERROR(__xludf.DUMMYFUNCTION("IFERROR(INDEX(FILTER('Contenido Curricular'!$C$4:$C$100, 'Contenido Curricular'!$F$4:$F$100=8), 6), """")"),"")</f>
        <v/>
      </c>
      <c r="E33" s="8"/>
      <c r="F33" s="28" t="str">
        <f>IFERROR(__xludf.DUMMYFUNCTION("IFERROR(INDEX(FILTER('Contenido Curricular'!$D$4:$D$100, 'Contenido Curricular'!$F$4:$F$100=8), 6), """")"),"")</f>
        <v/>
      </c>
      <c r="G33" s="7"/>
      <c r="H33" s="8"/>
    </row>
    <row r="34" ht="45.0" customHeight="1">
      <c r="A34" s="80">
        <v>7.0</v>
      </c>
      <c r="B34" s="28" t="str">
        <f>IFERROR(__xludf.DUMMYFUNCTION("IFERROR(INDEX(FILTER('Contenido Curricular'!$B$4:$B$100, 'Contenido Curricular'!$F$4:$F$100=8), 7), """")"),"")</f>
        <v/>
      </c>
      <c r="C34" s="8"/>
      <c r="D34" s="28" t="str">
        <f>IFERROR(__xludf.DUMMYFUNCTION("IFERROR(INDEX(FILTER('Contenido Curricular'!$C$4:$C$100, 'Contenido Curricular'!$F$4:$F$100=8), 7), """")"),"")</f>
        <v/>
      </c>
      <c r="E34" s="8"/>
      <c r="F34" s="28" t="str">
        <f>IFERROR(__xludf.DUMMYFUNCTION("IFERROR(INDEX(FILTER('Contenido Curricular'!$D$4:$D$100, 'Contenido Curricular'!$F$4:$F$100=8), 7), """")"),"")</f>
        <v/>
      </c>
      <c r="G34" s="7"/>
      <c r="H34" s="8"/>
    </row>
    <row r="35" ht="45.0" customHeight="1">
      <c r="A35" s="80">
        <v>8.0</v>
      </c>
      <c r="B35" s="28" t="str">
        <f>IFERROR(__xludf.DUMMYFUNCTION("IFERROR(INDEX(FILTER('Contenido Curricular'!$B$4:$B$100, 'Contenido Curricular'!$F$4:$F$100=8), 8), """")"),"")</f>
        <v/>
      </c>
      <c r="C35" s="8"/>
      <c r="D35" s="28" t="str">
        <f>IFERROR(__xludf.DUMMYFUNCTION("IFERROR(INDEX(FILTER('Contenido Curricular'!$C$4:$C$100, 'Contenido Curricular'!$F$4:$F$100=8), 8), """")"),"")</f>
        <v/>
      </c>
      <c r="E35" s="8"/>
      <c r="F35" s="28" t="str">
        <f>IFERROR(__xludf.DUMMYFUNCTION("IFERROR(INDEX(FILTER('Contenido Curricular'!$D$4:$D$100, 'Contenido Curricular'!$F$4:$F$100=8), 8), """")"),"")</f>
        <v/>
      </c>
      <c r="G35" s="7"/>
      <c r="H35" s="8"/>
    </row>
    <row r="36" ht="45.0" customHeight="1">
      <c r="A36" s="80">
        <v>9.0</v>
      </c>
      <c r="B36" s="28" t="str">
        <f>IFERROR(__xludf.DUMMYFUNCTION("IFERROR(INDEX(FILTER('Contenido Curricular'!$B$4:$B$100, 'Contenido Curricular'!$F$4:$F$100=8), 9), """")"),"")</f>
        <v/>
      </c>
      <c r="C36" s="8"/>
      <c r="D36" s="28" t="str">
        <f>IFERROR(__xludf.DUMMYFUNCTION("IFERROR(INDEX(FILTER('Contenido Curricular'!$C$4:$C$100, 'Contenido Curricular'!$F$4:$F$100=8), 9), """")"),"")</f>
        <v/>
      </c>
      <c r="E36" s="8"/>
      <c r="F36" s="28" t="str">
        <f>IFERROR(__xludf.DUMMYFUNCTION("IFERROR(INDEX(FILTER('Contenido Curricular'!$D$4:$D$100, 'Contenido Curricular'!$F$4:$F$100=8), 9), """")"),"")</f>
        <v/>
      </c>
      <c r="G36" s="7"/>
      <c r="H36" s="8"/>
    </row>
    <row r="37" ht="45.0" customHeight="1">
      <c r="A37" s="80">
        <v>10.0</v>
      </c>
      <c r="B37" s="28" t="str">
        <f>IFERROR(__xludf.DUMMYFUNCTION("IFERROR(INDEX(FILTER('Contenido Curricular'!$B$4:$B$100, 'Contenido Curricular'!$F$4:$F$100=8), 10), """")"),"")</f>
        <v/>
      </c>
      <c r="C37" s="8"/>
      <c r="D37" s="28" t="str">
        <f>IFERROR(__xludf.DUMMYFUNCTION("IFERROR(INDEX(FILTER('Contenido Curricular'!$C$4:$C$100, 'Contenido Curricular'!$F$4:$F$100=8), 10), """")"),"")</f>
        <v/>
      </c>
      <c r="E37" s="8"/>
      <c r="F37" s="28" t="str">
        <f>IFERROR(__xludf.DUMMYFUNCTION("IFERROR(INDEX(FILTER('Contenido Curricular'!$D$4:$D$100, 'Contenido Curricular'!$F$4:$F$100=8),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109</v>
      </c>
      <c r="C48" s="7"/>
      <c r="D48" s="7"/>
      <c r="E48" s="7"/>
      <c r="F48" s="7"/>
      <c r="G48" s="7"/>
      <c r="H48" s="8"/>
    </row>
    <row r="49" ht="15.75" customHeight="1">
      <c r="A49" s="76" t="s">
        <v>6</v>
      </c>
      <c r="B49" s="25" t="s">
        <v>193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228</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9.0</v>
      </c>
      <c r="D5" s="7"/>
      <c r="E5" s="7"/>
      <c r="F5" s="7"/>
      <c r="G5" s="7"/>
      <c r="H5" s="8"/>
    </row>
    <row r="6">
      <c r="B6" s="24" t="s">
        <v>115</v>
      </c>
      <c r="C6" s="60">
        <f>H10+H21+H45+H70</f>
        <v>113</v>
      </c>
      <c r="D6" s="7"/>
      <c r="E6" s="7"/>
      <c r="F6" s="7"/>
      <c r="G6" s="7"/>
      <c r="H6" s="8"/>
    </row>
    <row r="7">
      <c r="B7" s="24" t="s">
        <v>160</v>
      </c>
      <c r="C7" s="60">
        <f>B50+B61</f>
        <v>5</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229</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230</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231</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105</v>
      </c>
      <c r="C23" s="7"/>
      <c r="D23" s="7"/>
      <c r="E23" s="7"/>
      <c r="F23" s="7"/>
      <c r="G23" s="7"/>
      <c r="H23" s="8"/>
    </row>
    <row r="24" ht="15.75" customHeight="1">
      <c r="A24" s="76" t="s">
        <v>172</v>
      </c>
      <c r="B24" s="25" t="s">
        <v>101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Curricular'!$F$4:$F$100=9), 1), """")"),"4. POO")</f>
        <v>4. POO</v>
      </c>
      <c r="C28" s="8"/>
      <c r="D28" s="28" t="str">
        <f>IFERROR(__xludf.DUMMYFUNCTION("IFERROR(INDEX(FILTER('Contenido Curricular'!$C$4:$C$100, 'Contenido Curricular'!$F$4:$F$100=9), 1), """")"),"Avanzado")</f>
        <v>Avanzado</v>
      </c>
      <c r="E28" s="8"/>
      <c r="F28" s="28" t="str">
        <f>IFERROR(__xludf.DUMMYFUNCTION("IFERROR(INDEX(FILTER('Contenido Curricular'!$D$4:$D$100, 'Contenido Curricular'!$F$4:$F$100=9), 1), """")"),"Serialización e Hilos")</f>
        <v>Serialización e Hilos</v>
      </c>
      <c r="G28" s="7"/>
      <c r="H28" s="8"/>
    </row>
    <row r="29" ht="45.0" customHeight="1">
      <c r="A29" s="80">
        <v>2.0</v>
      </c>
      <c r="B29" s="28" t="str">
        <f>IFERROR(__xludf.DUMMYFUNCTION("IFERROR(INDEX(FILTER('Contenido Curricular'!$B$4:$B$100, 'Contenido Curricular'!$F$4:$F$100=9), 2), """")"),"")</f>
        <v/>
      </c>
      <c r="C29" s="8"/>
      <c r="D29" s="28" t="str">
        <f>IFERROR(__xludf.DUMMYFUNCTION("IFERROR(INDEX(FILTER('Contenido Curricular'!$C$4:$C$100, 'Contenido Curricular'!$F$4:$F$100=9), 2), """")"),"")</f>
        <v/>
      </c>
      <c r="E29" s="8"/>
      <c r="F29" s="28" t="str">
        <f>IFERROR(__xludf.DUMMYFUNCTION("IFERROR(INDEX(FILTER('Contenido Curricular'!$D$4:$D$100, 'Contenido Curricular'!$F$4:$F$100=9), 2), """")"),"")</f>
        <v/>
      </c>
      <c r="G29" s="7"/>
      <c r="H29" s="8"/>
    </row>
    <row r="30" ht="45.0" customHeight="1">
      <c r="A30" s="80">
        <v>3.0</v>
      </c>
      <c r="B30" s="28" t="str">
        <f>IFERROR(__xludf.DUMMYFUNCTION("IFERROR(INDEX(FILTER('Contenido Curricular'!$B$4:$B$100, 'Contenido Curricular'!$F$4:$F$100=9), 3), """")"),"")</f>
        <v/>
      </c>
      <c r="C30" s="8"/>
      <c r="D30" s="28" t="str">
        <f>IFERROR(__xludf.DUMMYFUNCTION("IFERROR(INDEX(FILTER('Contenido Curricular'!$C$4:$C$100, 'Contenido Curricular'!$F$4:$F$100=9), 3), """")"),"")</f>
        <v/>
      </c>
      <c r="E30" s="8"/>
      <c r="F30" s="28" t="str">
        <f>IFERROR(__xludf.DUMMYFUNCTION("IFERROR(INDEX(FILTER('Contenido Curricular'!$D$4:$D$100, 'Contenido Curricular'!$F$4:$F$100=9), 3), """")"),"")</f>
        <v/>
      </c>
      <c r="G30" s="7"/>
      <c r="H30" s="8"/>
    </row>
    <row r="31" ht="45.0" customHeight="1">
      <c r="A31" s="80">
        <v>4.0</v>
      </c>
      <c r="B31" s="28" t="str">
        <f>IFERROR(__xludf.DUMMYFUNCTION("IFERROR(INDEX(FILTER('Contenido Curricular'!$B$4:$B$100, 'Contenido Curricular'!$F$4:$F$100=9), 4), """")"),"")</f>
        <v/>
      </c>
      <c r="C31" s="8"/>
      <c r="D31" s="28" t="str">
        <f>IFERROR(__xludf.DUMMYFUNCTION("IFERROR(INDEX(FILTER('Contenido Curricular'!$C$4:$C$100, 'Contenido Curricular'!$F$4:$F$100=9), 4), """")"),"")</f>
        <v/>
      </c>
      <c r="E31" s="8"/>
      <c r="F31" s="28" t="str">
        <f>IFERROR(__xludf.DUMMYFUNCTION("IFERROR(INDEX(FILTER('Contenido Curricular'!$D$4:$D$100, 'Contenido Curricular'!$F$4:$F$100=9), 4), """")"),"")</f>
        <v/>
      </c>
      <c r="G31" s="7"/>
      <c r="H31" s="8"/>
    </row>
    <row r="32" ht="45.0" customHeight="1">
      <c r="A32" s="80">
        <v>5.0</v>
      </c>
      <c r="B32" s="28" t="str">
        <f>IFERROR(__xludf.DUMMYFUNCTION("IFERROR(INDEX(FILTER('Contenido Curricular'!$B$4:$B$100, 'Contenido Curricular'!$F$4:$F$100=9), 5), """")"),"")</f>
        <v/>
      </c>
      <c r="C32" s="8"/>
      <c r="D32" s="28" t="str">
        <f>IFERROR(__xludf.DUMMYFUNCTION("IFERROR(INDEX(FILTER('Contenido Curricular'!$C$4:$C$100, 'Contenido Curricular'!$F$4:$F$100=9), 5), """")"),"")</f>
        <v/>
      </c>
      <c r="E32" s="8"/>
      <c r="F32" s="28" t="str">
        <f>IFERROR(__xludf.DUMMYFUNCTION("IFERROR(INDEX(FILTER('Contenido Curricular'!$D$4:$D$100, 'Contenido Curricular'!$F$4:$F$100=9), 5), """")"),"")</f>
        <v/>
      </c>
      <c r="G32" s="7"/>
      <c r="H32" s="8"/>
    </row>
    <row r="33" ht="45.0" customHeight="1">
      <c r="A33" s="80">
        <v>6.0</v>
      </c>
      <c r="B33" s="28" t="str">
        <f>IFERROR(__xludf.DUMMYFUNCTION("IFERROR(INDEX(FILTER('Contenido Curricular'!$B$4:$B$100, 'Contenido Curricular'!$F$4:$F$100=9), 6), """")"),"")</f>
        <v/>
      </c>
      <c r="C33" s="8"/>
      <c r="D33" s="28" t="str">
        <f>IFERROR(__xludf.DUMMYFUNCTION("IFERROR(INDEX(FILTER('Contenido Curricular'!$C$4:$C$100, 'Contenido Curricular'!$F$4:$F$100=9), 6), """")"),"")</f>
        <v/>
      </c>
      <c r="E33" s="8"/>
      <c r="F33" s="28" t="str">
        <f>IFERROR(__xludf.DUMMYFUNCTION("IFERROR(INDEX(FILTER('Contenido Curricular'!$D$4:$D$100, 'Contenido Curricular'!$F$4:$F$100=9), 6), """")"),"")</f>
        <v/>
      </c>
      <c r="G33" s="7"/>
      <c r="H33" s="8"/>
    </row>
    <row r="34" ht="45.0" customHeight="1">
      <c r="A34" s="80">
        <v>7.0</v>
      </c>
      <c r="B34" s="28" t="str">
        <f>IFERROR(__xludf.DUMMYFUNCTION("IFERROR(INDEX(FILTER('Contenido Curricular'!$B$4:$B$100, 'Contenido Curricular'!$F$4:$F$100=9), 7), """")"),"")</f>
        <v/>
      </c>
      <c r="C34" s="8"/>
      <c r="D34" s="28" t="str">
        <f>IFERROR(__xludf.DUMMYFUNCTION("IFERROR(INDEX(FILTER('Contenido Curricular'!$C$4:$C$100, 'Contenido Curricular'!$F$4:$F$100=9), 7), """")"),"")</f>
        <v/>
      </c>
      <c r="E34" s="8"/>
      <c r="F34" s="28" t="str">
        <f>IFERROR(__xludf.DUMMYFUNCTION("IFERROR(INDEX(FILTER('Contenido Curricular'!$D$4:$D$100, 'Contenido Curricular'!$F$4:$F$100=9), 7), """")"),"")</f>
        <v/>
      </c>
      <c r="G34" s="7"/>
      <c r="H34" s="8"/>
    </row>
    <row r="35" ht="45.0" customHeight="1">
      <c r="A35" s="80">
        <v>8.0</v>
      </c>
      <c r="B35" s="28" t="str">
        <f>IFERROR(__xludf.DUMMYFUNCTION("IFERROR(INDEX(FILTER('Contenido Curricular'!$B$4:$B$100, 'Contenido Curricular'!$F$4:$F$100=9), 8), """")"),"")</f>
        <v/>
      </c>
      <c r="C35" s="8"/>
      <c r="D35" s="28" t="str">
        <f>IFERROR(__xludf.DUMMYFUNCTION("IFERROR(INDEX(FILTER('Contenido Curricular'!$C$4:$C$100, 'Contenido Curricular'!$F$4:$F$100=9), 8), """")"),"")</f>
        <v/>
      </c>
      <c r="E35" s="8"/>
      <c r="F35" s="28" t="str">
        <f>IFERROR(__xludf.DUMMYFUNCTION("IFERROR(INDEX(FILTER('Contenido Curricular'!$D$4:$D$100, 'Contenido Curricular'!$F$4:$F$100=9), 8), """")"),"")</f>
        <v/>
      </c>
      <c r="G35" s="7"/>
      <c r="H35" s="8"/>
    </row>
    <row r="36" ht="45.0" customHeight="1">
      <c r="A36" s="80">
        <v>9.0</v>
      </c>
      <c r="B36" s="28" t="str">
        <f>IFERROR(__xludf.DUMMYFUNCTION("IFERROR(INDEX(FILTER('Contenido Curricular'!$B$4:$B$100, 'Contenido Curricular'!$F$4:$F$100=9), 9), """")"),"")</f>
        <v/>
      </c>
      <c r="C36" s="8"/>
      <c r="D36" s="28" t="str">
        <f>IFERROR(__xludf.DUMMYFUNCTION("IFERROR(INDEX(FILTER('Contenido Curricular'!$C$4:$C$100, 'Contenido Curricular'!$F$4:$F$100=9), 9), """")"),"")</f>
        <v/>
      </c>
      <c r="E36" s="8"/>
      <c r="F36" s="28" t="str">
        <f>IFERROR(__xludf.DUMMYFUNCTION("IFERROR(INDEX(FILTER('Contenido Curricular'!$D$4:$D$100, 'Contenido Curricular'!$F$4:$F$100=9), 9), """")"),"")</f>
        <v/>
      </c>
      <c r="G36" s="7"/>
      <c r="H36" s="8"/>
    </row>
    <row r="37" ht="45.0" customHeight="1">
      <c r="A37" s="80">
        <v>10.0</v>
      </c>
      <c r="B37" s="28" t="str">
        <f>IFERROR(__xludf.DUMMYFUNCTION("IFERROR(INDEX(FILTER('Contenido Curricular'!$B$4:$B$100, 'Contenido Curricular'!$F$4:$F$100=9), 10), """")"),"")</f>
        <v/>
      </c>
      <c r="C37" s="8"/>
      <c r="D37" s="28" t="str">
        <f>IFERROR(__xludf.DUMMYFUNCTION("IFERROR(INDEX(FILTER('Contenido Curricular'!$C$4:$C$100, 'Contenido Curricular'!$F$4:$F$100=9), 10), """")"),"")</f>
        <v/>
      </c>
      <c r="E37" s="8"/>
      <c r="F37" s="28" t="str">
        <f>IFERROR(__xludf.DUMMYFUNCTION("IFERROR(INDEX(FILTER('Contenido Curricular'!$D$4:$D$100, 'Contenido Curricular'!$F$4:$F$100=9),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105</v>
      </c>
      <c r="C48" s="7"/>
      <c r="D48" s="7"/>
      <c r="E48" s="7"/>
      <c r="F48" s="7"/>
      <c r="G48" s="7"/>
      <c r="H48" s="8"/>
    </row>
    <row r="49" ht="15.75" customHeight="1">
      <c r="A49" s="76" t="s">
        <v>6</v>
      </c>
      <c r="B49" s="25" t="s">
        <v>204</v>
      </c>
      <c r="C49" s="7"/>
      <c r="D49" s="7"/>
      <c r="E49" s="7"/>
      <c r="F49" s="7"/>
      <c r="G49" s="7"/>
      <c r="H49" s="8"/>
    </row>
    <row r="50" ht="15.75" customHeight="1">
      <c r="A50" s="76" t="s">
        <v>160</v>
      </c>
      <c r="B50" s="60">
        <v>5.0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232</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10.0</v>
      </c>
      <c r="D5" s="7"/>
      <c r="E5" s="7"/>
      <c r="F5" s="7"/>
      <c r="G5" s="7"/>
      <c r="H5" s="8"/>
    </row>
    <row r="6">
      <c r="B6" s="24" t="s">
        <v>115</v>
      </c>
      <c r="C6" s="60">
        <f>H10+H21+H45+H70</f>
        <v>113</v>
      </c>
      <c r="D6" s="7"/>
      <c r="E6" s="7"/>
      <c r="F6" s="7"/>
      <c r="G6" s="7"/>
      <c r="H6" s="8"/>
    </row>
    <row r="7">
      <c r="B7" s="24" t="s">
        <v>160</v>
      </c>
      <c r="C7" s="60">
        <f>B50+B61</f>
        <v>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203</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t="s">
        <v>233</v>
      </c>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t="s">
        <v>234</v>
      </c>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109</v>
      </c>
      <c r="C23" s="7"/>
      <c r="D23" s="7"/>
      <c r="E23" s="7"/>
      <c r="F23" s="7"/>
      <c r="G23" s="7"/>
      <c r="H23" s="8"/>
    </row>
    <row r="24" ht="15.75" customHeight="1">
      <c r="A24" s="76" t="s">
        <v>172</v>
      </c>
      <c r="B24" s="25" t="s">
        <v>101</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Curricular'!$F$4:$F$100=10), 1), """")"),"5. GUI")</f>
        <v>5. GUI</v>
      </c>
      <c r="C28" s="8"/>
      <c r="D28" s="28" t="str">
        <f>IFERROR(__xludf.DUMMYFUNCTION("IFERROR(INDEX(FILTER('Contenido Curricular'!$C$4:$C$100, 'Contenido Curricular'!$F$4:$F$100=10), 1), """")"),"Interactividad")</f>
        <v>Interactividad</v>
      </c>
      <c r="E28" s="8"/>
      <c r="F28" s="28" t="str">
        <f>IFERROR(__xludf.DUMMYFUNCTION("IFERROR(INDEX(FILTER('Contenido Curricular'!$D$4:$D$100, 'Contenido Curricular'!$F$4:$F$100=10), 1), """")"),"Eventos y Layout Managers")</f>
        <v>Eventos y Layout Managers</v>
      </c>
      <c r="G28" s="7"/>
      <c r="H28" s="8"/>
    </row>
    <row r="29" ht="45.0" customHeight="1">
      <c r="A29" s="80">
        <v>2.0</v>
      </c>
      <c r="B29" s="28" t="str">
        <f>IFERROR(__xludf.DUMMYFUNCTION("IFERROR(INDEX(FILTER('Contenido Curricular'!$B$4:$B$100, 'Contenido Curricular'!$F$4:$F$100=10), 2), """")"),"")</f>
        <v/>
      </c>
      <c r="C29" s="8"/>
      <c r="D29" s="28" t="str">
        <f>IFERROR(__xludf.DUMMYFUNCTION("IFERROR(INDEX(FILTER('Contenido Curricular'!$C$4:$C$100, 'Contenido Curricular'!$F$4:$F$100=10), 2), """")"),"")</f>
        <v/>
      </c>
      <c r="E29" s="8"/>
      <c r="F29" s="28" t="str">
        <f>IFERROR(__xludf.DUMMYFUNCTION("IFERROR(INDEX(FILTER('Contenido Curricular'!$D$4:$D$100, 'Contenido Curricular'!$F$4:$F$100=10), 2), """")"),"")</f>
        <v/>
      </c>
      <c r="G29" s="7"/>
      <c r="H29" s="8"/>
    </row>
    <row r="30" ht="45.0" customHeight="1">
      <c r="A30" s="80">
        <v>3.0</v>
      </c>
      <c r="B30" s="28" t="str">
        <f>IFERROR(__xludf.DUMMYFUNCTION("IFERROR(INDEX(FILTER('Contenido Curricular'!$B$4:$B$100, 'Contenido Curricular'!$F$4:$F$100=10), 3), """")"),"")</f>
        <v/>
      </c>
      <c r="C30" s="8"/>
      <c r="D30" s="28" t="str">
        <f>IFERROR(__xludf.DUMMYFUNCTION("IFERROR(INDEX(FILTER('Contenido Curricular'!$C$4:$C$100, 'Contenido Curricular'!$F$4:$F$100=10), 3), """")"),"")</f>
        <v/>
      </c>
      <c r="E30" s="8"/>
      <c r="F30" s="28" t="str">
        <f>IFERROR(__xludf.DUMMYFUNCTION("IFERROR(INDEX(FILTER('Contenido Curricular'!$D$4:$D$100, 'Contenido Curricular'!$F$4:$F$100=10), 3), """")"),"")</f>
        <v/>
      </c>
      <c r="G30" s="7"/>
      <c r="H30" s="8"/>
    </row>
    <row r="31" ht="45.0" customHeight="1">
      <c r="A31" s="80">
        <v>4.0</v>
      </c>
      <c r="B31" s="28" t="str">
        <f>IFERROR(__xludf.DUMMYFUNCTION("IFERROR(INDEX(FILTER('Contenido Curricular'!$B$4:$B$100, 'Contenido Curricular'!$F$4:$F$100=10), 4), """")"),"")</f>
        <v/>
      </c>
      <c r="C31" s="8"/>
      <c r="D31" s="28" t="str">
        <f>IFERROR(__xludf.DUMMYFUNCTION("IFERROR(INDEX(FILTER('Contenido Curricular'!$C$4:$C$100, 'Contenido Curricular'!$F$4:$F$100=10), 4), """")"),"")</f>
        <v/>
      </c>
      <c r="E31" s="8"/>
      <c r="F31" s="28" t="str">
        <f>IFERROR(__xludf.DUMMYFUNCTION("IFERROR(INDEX(FILTER('Contenido Curricular'!$D$4:$D$100, 'Contenido Curricular'!$F$4:$F$100=10), 4), """")"),"")</f>
        <v/>
      </c>
      <c r="G31" s="7"/>
      <c r="H31" s="8"/>
    </row>
    <row r="32" ht="45.0" customHeight="1">
      <c r="A32" s="80">
        <v>5.0</v>
      </c>
      <c r="B32" s="28" t="str">
        <f>IFERROR(__xludf.DUMMYFUNCTION("IFERROR(INDEX(FILTER('Contenido Curricular'!$B$4:$B$100, 'Contenido Curricular'!$F$4:$F$100=10), 5), """")"),"")</f>
        <v/>
      </c>
      <c r="C32" s="8"/>
      <c r="D32" s="28" t="str">
        <f>IFERROR(__xludf.DUMMYFUNCTION("IFERROR(INDEX(FILTER('Contenido Curricular'!$C$4:$C$100, 'Contenido Curricular'!$F$4:$F$100=10), 5), """")"),"")</f>
        <v/>
      </c>
      <c r="E32" s="8"/>
      <c r="F32" s="28" t="str">
        <f>IFERROR(__xludf.DUMMYFUNCTION("IFERROR(INDEX(FILTER('Contenido Curricular'!$D$4:$D$100, 'Contenido Curricular'!$F$4:$F$100=10), 5), """")"),"")</f>
        <v/>
      </c>
      <c r="G32" s="7"/>
      <c r="H32" s="8"/>
    </row>
    <row r="33" ht="45.0" customHeight="1">
      <c r="A33" s="80">
        <v>6.0</v>
      </c>
      <c r="B33" s="28" t="str">
        <f>IFERROR(__xludf.DUMMYFUNCTION("IFERROR(INDEX(FILTER('Contenido Curricular'!$B$4:$B$100, 'Contenido Curricular'!$F$4:$F$100=10), 6), """")"),"")</f>
        <v/>
      </c>
      <c r="C33" s="8"/>
      <c r="D33" s="28" t="str">
        <f>IFERROR(__xludf.DUMMYFUNCTION("IFERROR(INDEX(FILTER('Contenido Curricular'!$C$4:$C$100, 'Contenido Curricular'!$F$4:$F$100=10), 6), """")"),"")</f>
        <v/>
      </c>
      <c r="E33" s="8"/>
      <c r="F33" s="28" t="str">
        <f>IFERROR(__xludf.DUMMYFUNCTION("IFERROR(INDEX(FILTER('Contenido Curricular'!$D$4:$D$100, 'Contenido Curricular'!$F$4:$F$100=10), 6), """")"),"")</f>
        <v/>
      </c>
      <c r="G33" s="7"/>
      <c r="H33" s="8"/>
    </row>
    <row r="34" ht="45.0" customHeight="1">
      <c r="A34" s="80">
        <v>7.0</v>
      </c>
      <c r="B34" s="28" t="str">
        <f>IFERROR(__xludf.DUMMYFUNCTION("IFERROR(INDEX(FILTER('Contenido Curricular'!$B$4:$B$100, 'Contenido Curricular'!$F$4:$F$100=10), 7), """")"),"")</f>
        <v/>
      </c>
      <c r="C34" s="8"/>
      <c r="D34" s="28" t="str">
        <f>IFERROR(__xludf.DUMMYFUNCTION("IFERROR(INDEX(FILTER('Contenido Curricular'!$C$4:$C$100, 'Contenido Curricular'!$F$4:$F$100=10), 7), """")"),"")</f>
        <v/>
      </c>
      <c r="E34" s="8"/>
      <c r="F34" s="28" t="str">
        <f>IFERROR(__xludf.DUMMYFUNCTION("IFERROR(INDEX(FILTER('Contenido Curricular'!$D$4:$D$100, 'Contenido Curricular'!$F$4:$F$100=10), 7), """")"),"")</f>
        <v/>
      </c>
      <c r="G34" s="7"/>
      <c r="H34" s="8"/>
    </row>
    <row r="35" ht="45.0" customHeight="1">
      <c r="A35" s="80">
        <v>8.0</v>
      </c>
      <c r="B35" s="28" t="str">
        <f>IFERROR(__xludf.DUMMYFUNCTION("IFERROR(INDEX(FILTER('Contenido Curricular'!$B$4:$B$100, 'Contenido Curricular'!$F$4:$F$100=10), 8), """")"),"")</f>
        <v/>
      </c>
      <c r="C35" s="8"/>
      <c r="D35" s="28" t="str">
        <f>IFERROR(__xludf.DUMMYFUNCTION("IFERROR(INDEX(FILTER('Contenido Curricular'!$C$4:$C$100, 'Contenido Curricular'!$F$4:$F$100=10), 8), """")"),"")</f>
        <v/>
      </c>
      <c r="E35" s="8"/>
      <c r="F35" s="28" t="str">
        <f>IFERROR(__xludf.DUMMYFUNCTION("IFERROR(INDEX(FILTER('Contenido Curricular'!$D$4:$D$100, 'Contenido Curricular'!$F$4:$F$100=10), 8), """")"),"")</f>
        <v/>
      </c>
      <c r="G35" s="7"/>
      <c r="H35" s="8"/>
    </row>
    <row r="36" ht="45.0" customHeight="1">
      <c r="A36" s="80">
        <v>9.0</v>
      </c>
      <c r="B36" s="28" t="str">
        <f>IFERROR(__xludf.DUMMYFUNCTION("IFERROR(INDEX(FILTER('Contenido Curricular'!$B$4:$B$100, 'Contenido Curricular'!$F$4:$F$100=10), 9), """")"),"")</f>
        <v/>
      </c>
      <c r="C36" s="8"/>
      <c r="D36" s="28" t="str">
        <f>IFERROR(__xludf.DUMMYFUNCTION("IFERROR(INDEX(FILTER('Contenido Curricular'!$C$4:$C$100, 'Contenido Curricular'!$F$4:$F$100=10), 9), """")"),"")</f>
        <v/>
      </c>
      <c r="E36" s="8"/>
      <c r="F36" s="28" t="str">
        <f>IFERROR(__xludf.DUMMYFUNCTION("IFERROR(INDEX(FILTER('Contenido Curricular'!$D$4:$D$100, 'Contenido Curricular'!$F$4:$F$100=10), 9), """")"),"")</f>
        <v/>
      </c>
      <c r="G36" s="7"/>
      <c r="H36" s="8"/>
    </row>
    <row r="37" ht="45.0" customHeight="1">
      <c r="A37" s="80">
        <v>10.0</v>
      </c>
      <c r="B37" s="28" t="str">
        <f>IFERROR(__xludf.DUMMYFUNCTION("IFERROR(INDEX(FILTER('Contenido Curricular'!$B$4:$B$100, 'Contenido Curricular'!$F$4:$F$100=10), 10), """")"),"")</f>
        <v/>
      </c>
      <c r="C37" s="8"/>
      <c r="D37" s="28" t="str">
        <f>IFERROR(__xludf.DUMMYFUNCTION("IFERROR(INDEX(FILTER('Contenido Curricular'!$C$4:$C$100, 'Contenido Curricular'!$F$4:$F$100=10), 10), """")"),"")</f>
        <v/>
      </c>
      <c r="E37" s="8"/>
      <c r="F37" s="28" t="str">
        <f>IFERROR(__xludf.DUMMYFUNCTION("IFERROR(INDEX(FILTER('Contenido Curricular'!$D$4:$D$100, 'Contenido Curricular'!$F$4:$F$100=10),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20.0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109</v>
      </c>
      <c r="C48" s="7"/>
      <c r="D48" s="7"/>
      <c r="E48" s="7"/>
      <c r="F48" s="7"/>
      <c r="G48" s="7"/>
      <c r="H48" s="8"/>
    </row>
    <row r="49" ht="15.75" customHeight="1">
      <c r="A49" s="76" t="s">
        <v>6</v>
      </c>
      <c r="B49" s="25" t="s">
        <v>193</v>
      </c>
      <c r="C49" s="7"/>
      <c r="D49" s="7"/>
      <c r="E49" s="7"/>
      <c r="F49" s="7"/>
      <c r="G49" s="7"/>
      <c r="H49" s="8"/>
    </row>
    <row r="50" ht="15.75" customHeight="1">
      <c r="A50" s="76" t="s">
        <v>160</v>
      </c>
      <c r="B50" s="60">
        <v>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235</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s>
  <sheetData>
    <row r="1" ht="19.5" customHeight="1">
      <c r="I1" s="20">
        <f>B51+IF(ISNUMBER(B62),B62,0)</f>
        <v>20</v>
      </c>
    </row>
    <row r="2">
      <c r="B2" s="1" t="s">
        <v>159</v>
      </c>
    </row>
    <row r="4">
      <c r="B4" s="24" t="s">
        <v>1</v>
      </c>
      <c r="C4" s="59" t="s">
        <v>2</v>
      </c>
      <c r="D4" s="7"/>
      <c r="E4" s="7"/>
      <c r="F4" s="7"/>
      <c r="G4" s="7"/>
      <c r="H4" s="8"/>
    </row>
    <row r="5">
      <c r="B5" s="24" t="s">
        <v>75</v>
      </c>
      <c r="C5" s="60">
        <v>11.0</v>
      </c>
      <c r="D5" s="7"/>
      <c r="E5" s="7"/>
      <c r="F5" s="7"/>
      <c r="G5" s="7"/>
      <c r="H5" s="8"/>
    </row>
    <row r="6">
      <c r="B6" s="24" t="s">
        <v>115</v>
      </c>
      <c r="C6" s="60">
        <f>H10+H21+H45+H70</f>
        <v>113</v>
      </c>
      <c r="D6" s="7"/>
      <c r="E6" s="7"/>
      <c r="F6" s="7"/>
      <c r="G6" s="7"/>
      <c r="H6" s="8"/>
    </row>
    <row r="7">
      <c r="B7" s="24" t="s">
        <v>160</v>
      </c>
      <c r="C7" s="60">
        <f>B50+B61</f>
        <v>10</v>
      </c>
      <c r="D7" s="7"/>
      <c r="E7" s="7"/>
      <c r="F7" s="7"/>
      <c r="G7" s="7"/>
      <c r="H7" s="8"/>
    </row>
    <row r="8">
      <c r="B8" s="24" t="s">
        <v>161</v>
      </c>
      <c r="C8" s="72"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1" t="s">
        <v>162</v>
      </c>
      <c r="G10" s="73" t="s">
        <v>115</v>
      </c>
      <c r="H10" s="74">
        <v>3.0</v>
      </c>
    </row>
    <row r="11">
      <c r="G11" s="75" t="s">
        <v>163</v>
      </c>
    </row>
    <row r="12">
      <c r="A12" s="76" t="s">
        <v>164</v>
      </c>
      <c r="B12" s="25" t="s">
        <v>236</v>
      </c>
      <c r="C12" s="7"/>
      <c r="D12" s="7"/>
      <c r="E12" s="7"/>
      <c r="F12" s="7"/>
      <c r="G12" s="7"/>
      <c r="H12" s="8"/>
    </row>
    <row r="13">
      <c r="A13" s="76" t="s">
        <v>117</v>
      </c>
      <c r="B13" s="25" t="s">
        <v>204</v>
      </c>
      <c r="C13" s="7"/>
      <c r="D13" s="7"/>
      <c r="E13" s="7"/>
      <c r="F13" s="7"/>
      <c r="G13" s="7"/>
      <c r="H13" s="8"/>
    </row>
    <row r="14">
      <c r="A14" s="47" t="s">
        <v>166</v>
      </c>
      <c r="B14" s="7"/>
      <c r="C14" s="7"/>
      <c r="D14" s="7"/>
      <c r="E14" s="7"/>
      <c r="F14" s="7"/>
      <c r="G14" s="7"/>
      <c r="H14" s="8"/>
    </row>
    <row r="15">
      <c r="A15" s="77"/>
      <c r="B15" s="49"/>
      <c r="C15" s="49"/>
      <c r="D15" s="49"/>
      <c r="E15" s="49"/>
      <c r="F15" s="49"/>
      <c r="G15" s="49"/>
      <c r="H15" s="50"/>
    </row>
    <row r="16">
      <c r="A16" s="51"/>
      <c r="B16" s="52"/>
      <c r="C16" s="52"/>
      <c r="D16" s="52"/>
      <c r="E16" s="52"/>
      <c r="F16" s="52"/>
      <c r="G16" s="52"/>
      <c r="H16" s="53"/>
    </row>
    <row r="17">
      <c r="A17" s="47" t="s">
        <v>168</v>
      </c>
      <c r="B17" s="7"/>
      <c r="C17" s="7"/>
      <c r="D17" s="7"/>
      <c r="E17" s="7"/>
      <c r="F17" s="7"/>
      <c r="G17" s="7"/>
      <c r="H17" s="8"/>
    </row>
    <row r="18">
      <c r="A18" s="77"/>
      <c r="B18" s="49"/>
      <c r="C18" s="49"/>
      <c r="D18" s="49"/>
      <c r="E18" s="49"/>
      <c r="F18" s="49"/>
      <c r="G18" s="49"/>
      <c r="H18" s="50"/>
    </row>
    <row r="19">
      <c r="A19" s="51"/>
      <c r="B19" s="52"/>
      <c r="C19" s="52"/>
      <c r="D19" s="52"/>
      <c r="E19" s="52"/>
      <c r="F19" s="52"/>
      <c r="G19" s="52"/>
      <c r="H19" s="53"/>
    </row>
    <row r="21" ht="15.75" customHeight="1">
      <c r="A21" s="61" t="s">
        <v>170</v>
      </c>
      <c r="G21" s="73" t="s">
        <v>115</v>
      </c>
      <c r="H21" s="74">
        <v>50.0</v>
      </c>
    </row>
    <row r="22" ht="15.75" customHeight="1">
      <c r="G22" s="75" t="s">
        <v>171</v>
      </c>
    </row>
    <row r="23" ht="15.75" customHeight="1">
      <c r="A23" s="76" t="s">
        <v>172</v>
      </c>
      <c r="B23" s="25" t="s">
        <v>101</v>
      </c>
      <c r="C23" s="7"/>
      <c r="D23" s="7"/>
      <c r="E23" s="7"/>
      <c r="F23" s="7"/>
      <c r="G23" s="7"/>
      <c r="H23" s="8"/>
    </row>
    <row r="24" ht="15.75" customHeight="1">
      <c r="A24" s="76" t="s">
        <v>172</v>
      </c>
      <c r="B24" s="25" t="s">
        <v>105</v>
      </c>
      <c r="C24" s="7"/>
      <c r="D24" s="7"/>
      <c r="E24" s="7"/>
      <c r="F24" s="7"/>
      <c r="G24" s="7"/>
      <c r="H24" s="8"/>
    </row>
    <row r="25" ht="15.75" customHeight="1"/>
    <row r="26" ht="15.75" customHeight="1">
      <c r="A26" s="61" t="s">
        <v>173</v>
      </c>
    </row>
    <row r="27" ht="15.75" customHeight="1">
      <c r="A27" s="78" t="s">
        <v>174</v>
      </c>
      <c r="B27" s="79" t="s">
        <v>71</v>
      </c>
      <c r="C27" s="8"/>
      <c r="D27" s="79" t="s">
        <v>72</v>
      </c>
      <c r="E27" s="8"/>
      <c r="F27" s="79" t="s">
        <v>175</v>
      </c>
      <c r="G27" s="7"/>
      <c r="H27" s="8"/>
    </row>
    <row r="28" ht="45.0" customHeight="1">
      <c r="A28" s="80">
        <v>1.0</v>
      </c>
      <c r="B28" s="28" t="str">
        <f>IFERROR(__xludf.DUMMYFUNCTION("IFERROR(INDEX(FILTER('Contenido Curricular'!$B$4:$B$100, 'Contenido Curricular'!$F$4:$F$100=11), 1), """")"),"6. Especializado")</f>
        <v>6. Especializado</v>
      </c>
      <c r="C28" s="8"/>
      <c r="D28" s="28" t="str">
        <f>IFERROR(__xludf.DUMMYFUNCTION("IFERROR(INDEX(FILTER('Contenido Curricular'!$C$4:$C$100, 'Contenido Curricular'!$F$4:$F$100=11), 1), """")"),"Diseño y Nube")</f>
        <v>Diseño y Nube</v>
      </c>
      <c r="E28" s="8"/>
      <c r="F28" s="28" t="str">
        <f>IFERROR(__xludf.DUMMYFUNCTION("IFERROR(INDEX(FILTER('Contenido Curricular'!$D$4:$D$100, 'Contenido Curricular'!$F$4:$F$100=11), 1), """")"),"UML y Cloud Computing")</f>
        <v>UML y Cloud Computing</v>
      </c>
      <c r="G28" s="7"/>
      <c r="H28" s="8"/>
    </row>
    <row r="29" ht="45.0" customHeight="1">
      <c r="A29" s="80">
        <v>2.0</v>
      </c>
      <c r="B29" s="28" t="str">
        <f>IFERROR(__xludf.DUMMYFUNCTION("IFERROR(INDEX(FILTER('Contenido Curricular'!$B$4:$B$100, 'Contenido Curricular'!$F$4:$F$100=11), 2), """")"),"")</f>
        <v/>
      </c>
      <c r="C29" s="8"/>
      <c r="D29" s="28" t="str">
        <f>IFERROR(__xludf.DUMMYFUNCTION("IFERROR(INDEX(FILTER('Contenido Curricular'!$C$4:$C$100, 'Contenido Curricular'!$F$4:$F$100=11), 2), """")"),"")</f>
        <v/>
      </c>
      <c r="E29" s="8"/>
      <c r="F29" s="28" t="str">
        <f>IFERROR(__xludf.DUMMYFUNCTION("IFERROR(INDEX(FILTER('Contenido Curricular'!$D$4:$D$100, 'Contenido Curricular'!$F$4:$F$100=11), 2), """")"),"")</f>
        <v/>
      </c>
      <c r="G29" s="7"/>
      <c r="H29" s="8"/>
    </row>
    <row r="30" ht="45.0" customHeight="1">
      <c r="A30" s="80">
        <v>3.0</v>
      </c>
      <c r="B30" s="28" t="str">
        <f>IFERROR(__xludf.DUMMYFUNCTION("IFERROR(INDEX(FILTER('Contenido Curricular'!$B$4:$B$100, 'Contenido Curricular'!$F$4:$F$100=11), 3), """")"),"")</f>
        <v/>
      </c>
      <c r="C30" s="8"/>
      <c r="D30" s="28" t="str">
        <f>IFERROR(__xludf.DUMMYFUNCTION("IFERROR(INDEX(FILTER('Contenido Curricular'!$C$4:$C$100, 'Contenido Curricular'!$F$4:$F$100=11), 3), """")"),"")</f>
        <v/>
      </c>
      <c r="E30" s="8"/>
      <c r="F30" s="28" t="str">
        <f>IFERROR(__xludf.DUMMYFUNCTION("IFERROR(INDEX(FILTER('Contenido Curricular'!$D$4:$D$100, 'Contenido Curricular'!$F$4:$F$100=11), 3), """")"),"")</f>
        <v/>
      </c>
      <c r="G30" s="7"/>
      <c r="H30" s="8"/>
    </row>
    <row r="31" ht="45.0" customHeight="1">
      <c r="A31" s="80">
        <v>4.0</v>
      </c>
      <c r="B31" s="28" t="str">
        <f>IFERROR(__xludf.DUMMYFUNCTION("IFERROR(INDEX(FILTER('Contenido Curricular'!$B$4:$B$100, 'Contenido Curricular'!$F$4:$F$100=11), 4), """")"),"")</f>
        <v/>
      </c>
      <c r="C31" s="8"/>
      <c r="D31" s="28" t="str">
        <f>IFERROR(__xludf.DUMMYFUNCTION("IFERROR(INDEX(FILTER('Contenido Curricular'!$C$4:$C$100, 'Contenido Curricular'!$F$4:$F$100=11), 4), """")"),"")</f>
        <v/>
      </c>
      <c r="E31" s="8"/>
      <c r="F31" s="28" t="str">
        <f>IFERROR(__xludf.DUMMYFUNCTION("IFERROR(INDEX(FILTER('Contenido Curricular'!$D$4:$D$100, 'Contenido Curricular'!$F$4:$F$100=11), 4), """")"),"")</f>
        <v/>
      </c>
      <c r="G31" s="7"/>
      <c r="H31" s="8"/>
    </row>
    <row r="32" ht="45.0" customHeight="1">
      <c r="A32" s="80">
        <v>5.0</v>
      </c>
      <c r="B32" s="28" t="str">
        <f>IFERROR(__xludf.DUMMYFUNCTION("IFERROR(INDEX(FILTER('Contenido Curricular'!$B$4:$B$100, 'Contenido Curricular'!$F$4:$F$100=11), 5), """")"),"")</f>
        <v/>
      </c>
      <c r="C32" s="8"/>
      <c r="D32" s="28" t="str">
        <f>IFERROR(__xludf.DUMMYFUNCTION("IFERROR(INDEX(FILTER('Contenido Curricular'!$C$4:$C$100, 'Contenido Curricular'!$F$4:$F$100=11), 5), """")"),"")</f>
        <v/>
      </c>
      <c r="E32" s="8"/>
      <c r="F32" s="28" t="str">
        <f>IFERROR(__xludf.DUMMYFUNCTION("IFERROR(INDEX(FILTER('Contenido Curricular'!$D$4:$D$100, 'Contenido Curricular'!$F$4:$F$100=11), 5), """")"),"")</f>
        <v/>
      </c>
      <c r="G32" s="7"/>
      <c r="H32" s="8"/>
    </row>
    <row r="33" ht="45.0" customHeight="1">
      <c r="A33" s="80">
        <v>6.0</v>
      </c>
      <c r="B33" s="28" t="str">
        <f>IFERROR(__xludf.DUMMYFUNCTION("IFERROR(INDEX(FILTER('Contenido Curricular'!$B$4:$B$100, 'Contenido Curricular'!$F$4:$F$100=11), 6), """")"),"")</f>
        <v/>
      </c>
      <c r="C33" s="8"/>
      <c r="D33" s="28" t="str">
        <f>IFERROR(__xludf.DUMMYFUNCTION("IFERROR(INDEX(FILTER('Contenido Curricular'!$C$4:$C$100, 'Contenido Curricular'!$F$4:$F$100=11), 6), """")"),"")</f>
        <v/>
      </c>
      <c r="E33" s="8"/>
      <c r="F33" s="28" t="str">
        <f>IFERROR(__xludf.DUMMYFUNCTION("IFERROR(INDEX(FILTER('Contenido Curricular'!$D$4:$D$100, 'Contenido Curricular'!$F$4:$F$100=11), 6), """")"),"")</f>
        <v/>
      </c>
      <c r="G33" s="7"/>
      <c r="H33" s="8"/>
    </row>
    <row r="34" ht="45.0" customHeight="1">
      <c r="A34" s="80">
        <v>7.0</v>
      </c>
      <c r="B34" s="28" t="str">
        <f>IFERROR(__xludf.DUMMYFUNCTION("IFERROR(INDEX(FILTER('Contenido Curricular'!$B$4:$B$100, 'Contenido Curricular'!$F$4:$F$100=11), 7), """")"),"")</f>
        <v/>
      </c>
      <c r="C34" s="8"/>
      <c r="D34" s="28" t="str">
        <f>IFERROR(__xludf.DUMMYFUNCTION("IFERROR(INDEX(FILTER('Contenido Curricular'!$C$4:$C$100, 'Contenido Curricular'!$F$4:$F$100=11), 7), """")"),"")</f>
        <v/>
      </c>
      <c r="E34" s="8"/>
      <c r="F34" s="28" t="str">
        <f>IFERROR(__xludf.DUMMYFUNCTION("IFERROR(INDEX(FILTER('Contenido Curricular'!$D$4:$D$100, 'Contenido Curricular'!$F$4:$F$100=11), 7), """")"),"")</f>
        <v/>
      </c>
      <c r="G34" s="7"/>
      <c r="H34" s="8"/>
    </row>
    <row r="35" ht="45.0" customHeight="1">
      <c r="A35" s="80">
        <v>8.0</v>
      </c>
      <c r="B35" s="28" t="str">
        <f>IFERROR(__xludf.DUMMYFUNCTION("IFERROR(INDEX(FILTER('Contenido Curricular'!$B$4:$B$100, 'Contenido Curricular'!$F$4:$F$100=11), 8), """")"),"")</f>
        <v/>
      </c>
      <c r="C35" s="8"/>
      <c r="D35" s="28" t="str">
        <f>IFERROR(__xludf.DUMMYFUNCTION("IFERROR(INDEX(FILTER('Contenido Curricular'!$C$4:$C$100, 'Contenido Curricular'!$F$4:$F$100=11), 8), """")"),"")</f>
        <v/>
      </c>
      <c r="E35" s="8"/>
      <c r="F35" s="28" t="str">
        <f>IFERROR(__xludf.DUMMYFUNCTION("IFERROR(INDEX(FILTER('Contenido Curricular'!$D$4:$D$100, 'Contenido Curricular'!$F$4:$F$100=11), 8), """")"),"")</f>
        <v/>
      </c>
      <c r="G35" s="7"/>
      <c r="H35" s="8"/>
    </row>
    <row r="36" ht="45.0" customHeight="1">
      <c r="A36" s="80">
        <v>9.0</v>
      </c>
      <c r="B36" s="28" t="str">
        <f>IFERROR(__xludf.DUMMYFUNCTION("IFERROR(INDEX(FILTER('Contenido Curricular'!$B$4:$B$100, 'Contenido Curricular'!$F$4:$F$100=11), 9), """")"),"")</f>
        <v/>
      </c>
      <c r="C36" s="8"/>
      <c r="D36" s="28" t="str">
        <f>IFERROR(__xludf.DUMMYFUNCTION("IFERROR(INDEX(FILTER('Contenido Curricular'!$C$4:$C$100, 'Contenido Curricular'!$F$4:$F$100=11), 9), """")"),"")</f>
        <v/>
      </c>
      <c r="E36" s="8"/>
      <c r="F36" s="28" t="str">
        <f>IFERROR(__xludf.DUMMYFUNCTION("IFERROR(INDEX(FILTER('Contenido Curricular'!$D$4:$D$100, 'Contenido Curricular'!$F$4:$F$100=11), 9), """")"),"")</f>
        <v/>
      </c>
      <c r="G36" s="7"/>
      <c r="H36" s="8"/>
    </row>
    <row r="37" ht="45.0" customHeight="1">
      <c r="A37" s="80">
        <v>10.0</v>
      </c>
      <c r="B37" s="28" t="str">
        <f>IFERROR(__xludf.DUMMYFUNCTION("IFERROR(INDEX(FILTER('Contenido Curricular'!$B$4:$B$100, 'Contenido Curricular'!$F$4:$F$100=11), 10), """")"),"")</f>
        <v/>
      </c>
      <c r="C37" s="8"/>
      <c r="D37" s="28" t="str">
        <f>IFERROR(__xludf.DUMMYFUNCTION("IFERROR(INDEX(FILTER('Contenido Curricular'!$C$4:$C$100, 'Contenido Curricular'!$F$4:$F$100=11), 10), """")"),"")</f>
        <v/>
      </c>
      <c r="E37" s="8"/>
      <c r="F37" s="28" t="str">
        <f>IFERROR(__xludf.DUMMYFUNCTION("IFERROR(INDEX(FILTER('Contenido Curricular'!$D$4:$D$100, 'Contenido Curricular'!$F$4:$F$100=11), 10), """")"),"")</f>
        <v/>
      </c>
      <c r="G37" s="7"/>
      <c r="H37" s="8"/>
    </row>
    <row r="38" ht="15.75" customHeight="1">
      <c r="A38" s="81" t="s">
        <v>176</v>
      </c>
      <c r="B38" s="7"/>
      <c r="C38" s="7"/>
      <c r="D38" s="7"/>
      <c r="E38" s="7"/>
      <c r="F38" s="7"/>
      <c r="G38" s="7"/>
      <c r="H38" s="8"/>
    </row>
    <row r="39" ht="15.75" customHeight="1">
      <c r="A39" s="47" t="s">
        <v>177</v>
      </c>
      <c r="B39" s="8"/>
      <c r="C39" s="47" t="s">
        <v>42</v>
      </c>
      <c r="D39" s="8"/>
      <c r="E39" s="47" t="s">
        <v>178</v>
      </c>
      <c r="F39" s="8"/>
      <c r="G39" s="47" t="s">
        <v>117</v>
      </c>
      <c r="H39" s="8"/>
    </row>
    <row r="40" ht="15.75" customHeight="1">
      <c r="A40" s="25" t="s">
        <v>179</v>
      </c>
      <c r="B40" s="8"/>
      <c r="C40" s="25" t="s">
        <v>180</v>
      </c>
      <c r="D40" s="8"/>
      <c r="E40" s="25" t="s">
        <v>181</v>
      </c>
      <c r="F40" s="8"/>
      <c r="G40" s="60">
        <v>15.0</v>
      </c>
      <c r="H40" s="8"/>
    </row>
    <row r="41" ht="15.75" customHeight="1">
      <c r="A41" s="25" t="s">
        <v>182</v>
      </c>
      <c r="B41" s="8"/>
      <c r="C41" s="25" t="s">
        <v>180</v>
      </c>
      <c r="D41" s="8"/>
      <c r="E41" s="25" t="s">
        <v>183</v>
      </c>
      <c r="F41" s="8"/>
      <c r="G41" s="60">
        <v>4.0</v>
      </c>
      <c r="H41" s="8"/>
    </row>
    <row r="42" ht="15.75" customHeight="1">
      <c r="A42" s="25" t="s">
        <v>184</v>
      </c>
      <c r="B42" s="8"/>
      <c r="C42" s="25" t="s">
        <v>185</v>
      </c>
      <c r="D42" s="8"/>
      <c r="E42" s="25" t="s">
        <v>186</v>
      </c>
      <c r="F42" s="8"/>
      <c r="G42" s="60">
        <v>4.0</v>
      </c>
      <c r="H42" s="8"/>
    </row>
    <row r="43" ht="15.75" customHeight="1">
      <c r="A43" s="25" t="s">
        <v>187</v>
      </c>
      <c r="B43" s="8"/>
      <c r="C43" s="25" t="s">
        <v>180</v>
      </c>
      <c r="D43" s="8"/>
      <c r="E43" s="25" t="s">
        <v>188</v>
      </c>
      <c r="F43" s="8"/>
      <c r="G43" s="60">
        <v>20.0</v>
      </c>
      <c r="H43" s="8"/>
    </row>
    <row r="44" ht="15.75" customHeight="1"/>
    <row r="45" ht="15.75" customHeight="1">
      <c r="A45" s="61" t="s">
        <v>189</v>
      </c>
      <c r="G45" s="73" t="s">
        <v>115</v>
      </c>
      <c r="H45" s="74">
        <v>50.0</v>
      </c>
    </row>
    <row r="46" ht="15.75" customHeight="1">
      <c r="G46" s="75" t="s">
        <v>190</v>
      </c>
    </row>
    <row r="47" ht="15.75" customHeight="1">
      <c r="A47" s="47" t="s">
        <v>191</v>
      </c>
      <c r="B47" s="7"/>
      <c r="C47" s="7"/>
      <c r="D47" s="7"/>
      <c r="E47" s="7"/>
      <c r="F47" s="7"/>
      <c r="G47" s="7"/>
      <c r="H47" s="8"/>
    </row>
    <row r="48" ht="15.75" customHeight="1">
      <c r="A48" s="76" t="s">
        <v>192</v>
      </c>
      <c r="B48" s="25" t="s">
        <v>101</v>
      </c>
      <c r="C48" s="7"/>
      <c r="D48" s="7"/>
      <c r="E48" s="7"/>
      <c r="F48" s="7"/>
      <c r="G48" s="7"/>
      <c r="H48" s="8"/>
    </row>
    <row r="49" ht="15.75" customHeight="1">
      <c r="A49" s="76" t="s">
        <v>6</v>
      </c>
      <c r="B49" s="25" t="s">
        <v>237</v>
      </c>
      <c r="C49" s="7"/>
      <c r="D49" s="7"/>
      <c r="E49" s="7"/>
      <c r="F49" s="7"/>
      <c r="G49" s="7"/>
      <c r="H49" s="8"/>
    </row>
    <row r="50" ht="15.75" customHeight="1">
      <c r="A50" s="76" t="s">
        <v>160</v>
      </c>
      <c r="B50" s="60">
        <v>10.0</v>
      </c>
      <c r="C50" s="7"/>
      <c r="D50" s="7"/>
      <c r="E50" s="7"/>
      <c r="F50" s="7"/>
      <c r="G50" s="7"/>
      <c r="H50" s="8"/>
    </row>
    <row r="51" ht="15.75" customHeight="1">
      <c r="A51" s="76" t="s">
        <v>117</v>
      </c>
      <c r="B51" s="60">
        <v>20.0</v>
      </c>
      <c r="C51" s="7"/>
      <c r="D51" s="7"/>
      <c r="E51" s="7"/>
      <c r="F51" s="7"/>
      <c r="G51" s="7"/>
      <c r="H51" s="8"/>
    </row>
    <row r="52" ht="15.75" customHeight="1">
      <c r="A52" s="82" t="s">
        <v>194</v>
      </c>
    </row>
    <row r="53" ht="15.75" customHeight="1">
      <c r="A53" s="47" t="s">
        <v>195</v>
      </c>
      <c r="B53" s="7"/>
      <c r="C53" s="7"/>
      <c r="D53" s="7"/>
      <c r="E53" s="7"/>
      <c r="F53" s="7"/>
      <c r="G53" s="7"/>
      <c r="H53" s="8"/>
    </row>
    <row r="54" ht="15.75" customHeight="1">
      <c r="A54" s="77" t="s">
        <v>238</v>
      </c>
      <c r="B54" s="49"/>
      <c r="C54" s="49"/>
      <c r="D54" s="49"/>
      <c r="E54" s="49"/>
      <c r="F54" s="49"/>
      <c r="G54" s="49"/>
      <c r="H54" s="50"/>
    </row>
    <row r="55" ht="15.75" customHeight="1">
      <c r="A55" s="83"/>
      <c r="H55" s="84"/>
    </row>
    <row r="56" ht="15.75" customHeight="1">
      <c r="A56" s="83"/>
      <c r="H56" s="84"/>
    </row>
    <row r="57" ht="15.75" customHeight="1">
      <c r="A57" s="51"/>
      <c r="B57" s="52"/>
      <c r="C57" s="52"/>
      <c r="D57" s="52"/>
      <c r="E57" s="52"/>
      <c r="F57" s="52"/>
      <c r="G57" s="52"/>
      <c r="H57" s="53"/>
    </row>
    <row r="58" ht="15.75" customHeight="1">
      <c r="A58" s="47" t="s">
        <v>197</v>
      </c>
      <c r="B58" s="7"/>
      <c r="C58" s="7"/>
      <c r="D58" s="7"/>
      <c r="E58" s="7"/>
      <c r="F58" s="7"/>
      <c r="G58" s="7"/>
      <c r="H58" s="8"/>
    </row>
    <row r="59" ht="15.75" customHeight="1">
      <c r="A59" s="76" t="s">
        <v>192</v>
      </c>
      <c r="B59" s="25"/>
      <c r="C59" s="7"/>
      <c r="D59" s="7"/>
      <c r="E59" s="7"/>
      <c r="F59" s="7"/>
      <c r="G59" s="7"/>
      <c r="H59" s="8"/>
    </row>
    <row r="60" ht="15.75" customHeight="1">
      <c r="A60" s="76" t="s">
        <v>6</v>
      </c>
      <c r="B60" s="25"/>
      <c r="C60" s="7"/>
      <c r="D60" s="7"/>
      <c r="E60" s="7"/>
      <c r="F60" s="7"/>
      <c r="G60" s="7"/>
      <c r="H60" s="8"/>
    </row>
    <row r="61" ht="15.75" customHeight="1">
      <c r="A61" s="76" t="s">
        <v>160</v>
      </c>
      <c r="B61" s="25"/>
      <c r="C61" s="7"/>
      <c r="D61" s="7"/>
      <c r="E61" s="7"/>
      <c r="F61" s="7"/>
      <c r="G61" s="7"/>
      <c r="H61" s="8"/>
    </row>
    <row r="62" ht="15.75" customHeight="1">
      <c r="A62" s="76" t="s">
        <v>117</v>
      </c>
      <c r="B62" s="25"/>
      <c r="C62" s="7"/>
      <c r="D62" s="7"/>
      <c r="E62" s="7"/>
      <c r="F62" s="7"/>
      <c r="G62" s="7"/>
      <c r="H62" s="8"/>
    </row>
    <row r="63" ht="15.75" customHeight="1">
      <c r="A63" s="82" t="s">
        <v>198</v>
      </c>
    </row>
    <row r="64" ht="15.75" customHeight="1">
      <c r="A64" s="47" t="s">
        <v>195</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83"/>
      <c r="H67" s="84"/>
    </row>
    <row r="68" ht="15.75" customHeight="1">
      <c r="A68" s="51"/>
      <c r="B68" s="52"/>
      <c r="C68" s="52"/>
      <c r="D68" s="52"/>
      <c r="E68" s="52"/>
      <c r="F68" s="52"/>
      <c r="G68" s="52"/>
      <c r="H68" s="53"/>
    </row>
    <row r="69" ht="15.75" customHeight="1"/>
    <row r="70" ht="15.75" customHeight="1">
      <c r="A70" s="61" t="s">
        <v>199</v>
      </c>
      <c r="G70" s="73" t="s">
        <v>115</v>
      </c>
      <c r="H70" s="74">
        <v>10.0</v>
      </c>
    </row>
    <row r="71" ht="15.75" customHeight="1">
      <c r="G71" s="75" t="s">
        <v>200</v>
      </c>
    </row>
    <row r="72" ht="15.75" customHeight="1">
      <c r="A72" s="76" t="s">
        <v>117</v>
      </c>
      <c r="B72" s="25"/>
      <c r="C72" s="7"/>
      <c r="D72" s="7"/>
      <c r="E72" s="7"/>
      <c r="F72" s="7"/>
      <c r="G72" s="7"/>
      <c r="H72" s="8"/>
    </row>
    <row r="73" ht="15.75" customHeight="1">
      <c r="A73" s="47" t="s">
        <v>201</v>
      </c>
      <c r="B73" s="7"/>
      <c r="C73" s="7"/>
      <c r="D73" s="7"/>
      <c r="E73" s="7"/>
      <c r="F73" s="7"/>
      <c r="G73" s="7"/>
      <c r="H73" s="8"/>
    </row>
    <row r="74" ht="15.75" customHeight="1">
      <c r="A74" s="77"/>
      <c r="B74" s="49"/>
      <c r="C74" s="49"/>
      <c r="D74" s="49"/>
      <c r="E74" s="49"/>
      <c r="F74" s="49"/>
      <c r="G74" s="49"/>
      <c r="H74" s="50"/>
    </row>
    <row r="75" ht="15.75" customHeight="1">
      <c r="A75" s="51"/>
      <c r="B75" s="52"/>
      <c r="C75" s="52"/>
      <c r="D75" s="52"/>
      <c r="E75" s="52"/>
      <c r="F75" s="52"/>
      <c r="G75" s="52"/>
      <c r="H75" s="53"/>
    </row>
    <row r="76" ht="15.75" customHeight="1">
      <c r="A76" s="82" t="s">
        <v>202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3.71"/>
    <col customWidth="1" min="8" max="8" width="12.0"/>
  </cols>
  <sheetData>
    <row r="1" ht="19.5" customHeight="1"/>
    <row r="2">
      <c r="B2" s="1" t="s">
        <v>13</v>
      </c>
    </row>
    <row r="4">
      <c r="B4" s="22" t="s">
        <v>1</v>
      </c>
      <c r="C4" s="85" t="s">
        <v>2</v>
      </c>
      <c r="D4" s="7"/>
      <c r="E4" s="7"/>
      <c r="F4" s="7"/>
      <c r="G4" s="7"/>
      <c r="H4" s="8"/>
    </row>
    <row r="5">
      <c r="B5" s="24" t="s">
        <v>115</v>
      </c>
      <c r="C5" s="60">
        <f>H9+H24+H39</f>
        <v>90</v>
      </c>
      <c r="D5" s="7"/>
      <c r="E5" s="7"/>
      <c r="F5" s="7"/>
      <c r="G5" s="7"/>
      <c r="H5" s="8"/>
    </row>
    <row r="6">
      <c r="B6" s="24" t="s">
        <v>160</v>
      </c>
      <c r="C6" s="60">
        <f>F9+F24+F39</f>
        <v>50</v>
      </c>
      <c r="D6" s="7"/>
      <c r="E6" s="7"/>
      <c r="F6" s="7"/>
      <c r="G6" s="7"/>
      <c r="H6" s="8"/>
    </row>
    <row r="7">
      <c r="A7" s="82" t="s">
        <v>239</v>
      </c>
    </row>
    <row r="9">
      <c r="A9" s="61" t="s">
        <v>240</v>
      </c>
      <c r="E9" s="86" t="s">
        <v>160</v>
      </c>
      <c r="F9" s="63">
        <v>20.0</v>
      </c>
      <c r="G9" s="86" t="s">
        <v>241</v>
      </c>
      <c r="H9" s="63">
        <v>35.0</v>
      </c>
    </row>
    <row r="10">
      <c r="A10" s="87" t="s">
        <v>180</v>
      </c>
    </row>
    <row r="11">
      <c r="A11" s="76" t="s">
        <v>172</v>
      </c>
      <c r="B11" s="25" t="s">
        <v>81</v>
      </c>
      <c r="C11" s="7"/>
      <c r="D11" s="7"/>
      <c r="E11" s="7"/>
      <c r="F11" s="7"/>
      <c r="G11" s="7"/>
      <c r="H11" s="8"/>
    </row>
    <row r="12">
      <c r="A12" s="76" t="s">
        <v>172</v>
      </c>
      <c r="B12" s="25" t="s">
        <v>105</v>
      </c>
      <c r="C12" s="7"/>
      <c r="D12" s="7"/>
      <c r="E12" s="7"/>
      <c r="F12" s="7"/>
      <c r="G12" s="7"/>
      <c r="H12" s="8"/>
    </row>
    <row r="13">
      <c r="A13" s="76" t="s">
        <v>172</v>
      </c>
      <c r="B13" s="25" t="s">
        <v>101</v>
      </c>
      <c r="C13" s="7"/>
      <c r="D13" s="7"/>
      <c r="E13" s="7"/>
      <c r="F13" s="7"/>
      <c r="G13" s="7"/>
      <c r="H13" s="8"/>
    </row>
    <row r="14">
      <c r="A14" s="76" t="s">
        <v>242</v>
      </c>
      <c r="B14" s="25" t="s">
        <v>243</v>
      </c>
      <c r="C14" s="7"/>
      <c r="D14" s="7"/>
      <c r="E14" s="7"/>
      <c r="F14" s="7"/>
      <c r="G14" s="7"/>
      <c r="H14" s="8"/>
    </row>
    <row r="15">
      <c r="A15" s="47" t="s">
        <v>244</v>
      </c>
      <c r="B15" s="7"/>
      <c r="C15" s="7"/>
      <c r="D15" s="7"/>
      <c r="E15" s="7"/>
      <c r="F15" s="7"/>
      <c r="G15" s="7"/>
      <c r="H15" s="8"/>
    </row>
    <row r="16">
      <c r="A16" s="77" t="s">
        <v>245</v>
      </c>
      <c r="B16" s="49"/>
      <c r="C16" s="49"/>
      <c r="D16" s="49"/>
      <c r="E16" s="49"/>
      <c r="F16" s="49"/>
      <c r="G16" s="49"/>
      <c r="H16" s="50"/>
    </row>
    <row r="17">
      <c r="A17" s="83"/>
      <c r="H17" s="84"/>
    </row>
    <row r="18">
      <c r="A18" s="51"/>
      <c r="B18" s="52"/>
      <c r="C18" s="52"/>
      <c r="D18" s="52"/>
      <c r="E18" s="52"/>
      <c r="F18" s="52"/>
      <c r="G18" s="52"/>
      <c r="H18" s="53"/>
    </row>
    <row r="19">
      <c r="A19" s="47" t="s">
        <v>246</v>
      </c>
      <c r="B19" s="7"/>
      <c r="C19" s="7"/>
      <c r="D19" s="7"/>
      <c r="E19" s="7"/>
      <c r="F19" s="7"/>
      <c r="G19" s="7"/>
      <c r="H19" s="8"/>
    </row>
    <row r="20">
      <c r="A20" s="77" t="s">
        <v>247</v>
      </c>
      <c r="B20" s="49"/>
      <c r="C20" s="49"/>
      <c r="D20" s="49"/>
      <c r="E20" s="49"/>
      <c r="F20" s="49"/>
      <c r="G20" s="49"/>
      <c r="H20" s="50"/>
    </row>
    <row r="21" ht="15.75" customHeight="1">
      <c r="A21" s="83"/>
      <c r="H21" s="84"/>
    </row>
    <row r="22" ht="15.75" customHeight="1">
      <c r="A22" s="51"/>
      <c r="B22" s="52"/>
      <c r="C22" s="52"/>
      <c r="D22" s="52"/>
      <c r="E22" s="52"/>
      <c r="F22" s="52"/>
      <c r="G22" s="52"/>
      <c r="H22" s="53"/>
    </row>
    <row r="23" ht="15.75" customHeight="1"/>
    <row r="24" ht="15.75" customHeight="1">
      <c r="A24" s="61" t="s">
        <v>248</v>
      </c>
      <c r="E24" s="86" t="s">
        <v>160</v>
      </c>
      <c r="F24" s="63">
        <v>30.0</v>
      </c>
      <c r="G24" s="86" t="s">
        <v>241</v>
      </c>
      <c r="H24" s="63">
        <v>55.0</v>
      </c>
    </row>
    <row r="25" ht="15.75" customHeight="1">
      <c r="A25" s="87" t="s">
        <v>180</v>
      </c>
    </row>
    <row r="26" ht="15.75" customHeight="1">
      <c r="A26" s="76" t="s">
        <v>172</v>
      </c>
      <c r="B26" s="25" t="s">
        <v>105</v>
      </c>
      <c r="C26" s="7"/>
      <c r="D26" s="7"/>
      <c r="E26" s="7"/>
      <c r="F26" s="7"/>
      <c r="G26" s="7"/>
      <c r="H26" s="8"/>
    </row>
    <row r="27" ht="15.75" customHeight="1">
      <c r="A27" s="76" t="s">
        <v>172</v>
      </c>
      <c r="B27" s="25" t="s">
        <v>109</v>
      </c>
      <c r="C27" s="7"/>
      <c r="D27" s="7"/>
      <c r="E27" s="7"/>
      <c r="F27" s="7"/>
      <c r="G27" s="7"/>
      <c r="H27" s="8"/>
    </row>
    <row r="28" ht="15.75" customHeight="1">
      <c r="A28" s="76" t="s">
        <v>172</v>
      </c>
      <c r="B28" s="25"/>
      <c r="C28" s="7"/>
      <c r="D28" s="7"/>
      <c r="E28" s="7"/>
      <c r="F28" s="7"/>
      <c r="G28" s="7"/>
      <c r="H28" s="8"/>
    </row>
    <row r="29" ht="15.75" customHeight="1">
      <c r="A29" s="76" t="s">
        <v>242</v>
      </c>
      <c r="B29" s="25" t="s">
        <v>249</v>
      </c>
      <c r="C29" s="7"/>
      <c r="D29" s="7"/>
      <c r="E29" s="7"/>
      <c r="F29" s="7"/>
      <c r="G29" s="7"/>
      <c r="H29" s="8"/>
    </row>
    <row r="30" ht="15.75" customHeight="1">
      <c r="A30" s="47" t="s">
        <v>244</v>
      </c>
      <c r="B30" s="7"/>
      <c r="C30" s="7"/>
      <c r="D30" s="7"/>
      <c r="E30" s="7"/>
      <c r="F30" s="7"/>
      <c r="G30" s="7"/>
      <c r="H30" s="8"/>
    </row>
    <row r="31" ht="15.75" customHeight="1">
      <c r="A31" s="77" t="s">
        <v>245</v>
      </c>
      <c r="B31" s="49"/>
      <c r="C31" s="49"/>
      <c r="D31" s="49"/>
      <c r="E31" s="49"/>
      <c r="F31" s="49"/>
      <c r="G31" s="49"/>
      <c r="H31" s="50"/>
    </row>
    <row r="32" ht="15.75" customHeight="1">
      <c r="A32" s="83"/>
      <c r="H32" s="84"/>
    </row>
    <row r="33" ht="15.75" customHeight="1">
      <c r="A33" s="51"/>
      <c r="B33" s="52"/>
      <c r="C33" s="52"/>
      <c r="D33" s="52"/>
      <c r="E33" s="52"/>
      <c r="F33" s="52"/>
      <c r="G33" s="52"/>
      <c r="H33" s="53"/>
    </row>
    <row r="34" ht="15.75" customHeight="1">
      <c r="A34" s="47" t="s">
        <v>246</v>
      </c>
      <c r="B34" s="7"/>
      <c r="C34" s="7"/>
      <c r="D34" s="7"/>
      <c r="E34" s="7"/>
      <c r="F34" s="7"/>
      <c r="G34" s="7"/>
      <c r="H34" s="8"/>
    </row>
    <row r="35" ht="15.75" customHeight="1">
      <c r="A35" s="77" t="s">
        <v>250</v>
      </c>
      <c r="B35" s="49"/>
      <c r="C35" s="49"/>
      <c r="D35" s="49"/>
      <c r="E35" s="49"/>
      <c r="F35" s="49"/>
      <c r="G35" s="49"/>
      <c r="H35" s="50"/>
    </row>
    <row r="36" ht="15.75" customHeight="1">
      <c r="A36" s="83"/>
      <c r="H36" s="84"/>
    </row>
    <row r="37" ht="15.75" customHeight="1">
      <c r="A37" s="51"/>
      <c r="B37" s="52"/>
      <c r="C37" s="52"/>
      <c r="D37" s="52"/>
      <c r="E37" s="52"/>
      <c r="F37" s="52"/>
      <c r="G37" s="52"/>
      <c r="H37" s="53"/>
    </row>
    <row r="38" ht="15.75" customHeight="1"/>
    <row r="39" ht="15.75" customHeight="1">
      <c r="A39" s="61" t="s">
        <v>251</v>
      </c>
      <c r="E39" s="86" t="s">
        <v>160</v>
      </c>
      <c r="F39" s="63">
        <v>0.0</v>
      </c>
      <c r="G39" s="86" t="s">
        <v>241</v>
      </c>
      <c r="H39" s="63">
        <v>0.0</v>
      </c>
    </row>
    <row r="40" ht="15.75" customHeight="1">
      <c r="A40" s="87" t="s">
        <v>180</v>
      </c>
    </row>
    <row r="41" ht="15.75" customHeight="1">
      <c r="A41" s="76" t="s">
        <v>172</v>
      </c>
      <c r="B41" s="25"/>
      <c r="C41" s="7"/>
      <c r="D41" s="7"/>
      <c r="E41" s="7"/>
      <c r="F41" s="7"/>
      <c r="G41" s="7"/>
      <c r="H41" s="8"/>
    </row>
    <row r="42" ht="15.75" customHeight="1">
      <c r="A42" s="76" t="s">
        <v>172</v>
      </c>
      <c r="B42" s="25"/>
      <c r="C42" s="7"/>
      <c r="D42" s="7"/>
      <c r="E42" s="7"/>
      <c r="F42" s="7"/>
      <c r="G42" s="7"/>
      <c r="H42" s="8"/>
    </row>
    <row r="43" ht="15.75" customHeight="1">
      <c r="A43" s="76" t="s">
        <v>172</v>
      </c>
      <c r="B43" s="25"/>
      <c r="C43" s="7"/>
      <c r="D43" s="7"/>
      <c r="E43" s="7"/>
      <c r="F43" s="7"/>
      <c r="G43" s="7"/>
      <c r="H43" s="8"/>
    </row>
    <row r="44" ht="15.75" customHeight="1">
      <c r="A44" s="76" t="s">
        <v>242</v>
      </c>
      <c r="B44" s="25" t="s">
        <v>204</v>
      </c>
      <c r="C44" s="7"/>
      <c r="D44" s="7"/>
      <c r="E44" s="7"/>
      <c r="F44" s="7"/>
      <c r="G44" s="7"/>
      <c r="H44" s="8"/>
    </row>
    <row r="45" ht="15.75" customHeight="1">
      <c r="A45" s="47" t="s">
        <v>244</v>
      </c>
      <c r="B45" s="7"/>
      <c r="C45" s="7"/>
      <c r="D45" s="7"/>
      <c r="E45" s="7"/>
      <c r="F45" s="7"/>
      <c r="G45" s="7"/>
      <c r="H45" s="8"/>
    </row>
    <row r="46" ht="15.75" customHeight="1">
      <c r="A46" s="77"/>
      <c r="B46" s="49"/>
      <c r="C46" s="49"/>
      <c r="D46" s="49"/>
      <c r="E46" s="49"/>
      <c r="F46" s="49"/>
      <c r="G46" s="49"/>
      <c r="H46" s="50"/>
    </row>
    <row r="47" ht="15.75" customHeight="1">
      <c r="A47" s="83"/>
      <c r="H47" s="84"/>
    </row>
    <row r="48" ht="15.75" customHeight="1">
      <c r="A48" s="51"/>
      <c r="B48" s="52"/>
      <c r="C48" s="52"/>
      <c r="D48" s="52"/>
      <c r="E48" s="52"/>
      <c r="F48" s="52"/>
      <c r="G48" s="52"/>
      <c r="H48" s="53"/>
    </row>
    <row r="49" ht="15.75" customHeight="1">
      <c r="A49" s="47" t="s">
        <v>246</v>
      </c>
      <c r="B49" s="7"/>
      <c r="C49" s="7"/>
      <c r="D49" s="7"/>
      <c r="E49" s="7"/>
      <c r="F49" s="7"/>
      <c r="G49" s="7"/>
      <c r="H49" s="8"/>
    </row>
    <row r="50" ht="15.75" customHeight="1">
      <c r="A50" s="77"/>
      <c r="B50" s="49"/>
      <c r="C50" s="49"/>
      <c r="D50" s="49"/>
      <c r="E50" s="49"/>
      <c r="F50" s="49"/>
      <c r="G50" s="49"/>
      <c r="H50" s="50"/>
    </row>
    <row r="51" ht="15.75" customHeight="1">
      <c r="A51" s="83"/>
      <c r="H51" s="84"/>
    </row>
    <row r="52" ht="15.75" customHeight="1">
      <c r="A52" s="51"/>
      <c r="B52" s="52"/>
      <c r="C52" s="52"/>
      <c r="D52" s="52"/>
      <c r="E52" s="52"/>
      <c r="F52" s="52"/>
      <c r="G52" s="52"/>
      <c r="H52" s="5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s>
  <sheetData>
    <row r="1" ht="19.5" customHeight="1"/>
    <row r="2">
      <c r="B2" s="1" t="s">
        <v>252</v>
      </c>
    </row>
    <row r="4">
      <c r="B4" s="22" t="s">
        <v>1</v>
      </c>
      <c r="C4" s="85" t="s">
        <v>2</v>
      </c>
      <c r="D4" s="7"/>
      <c r="E4" s="7"/>
      <c r="F4" s="7"/>
      <c r="G4" s="7"/>
      <c r="H4" s="8"/>
    </row>
    <row r="5">
      <c r="B5" s="24" t="s">
        <v>115</v>
      </c>
      <c r="C5" s="60">
        <f>H9+H24+H39+H54+H69+H84+H99</f>
        <v>40</v>
      </c>
      <c r="D5" s="7"/>
      <c r="E5" s="7"/>
      <c r="F5" s="7"/>
      <c r="G5" s="7"/>
      <c r="H5" s="8"/>
    </row>
    <row r="6">
      <c r="B6" s="24" t="s">
        <v>160</v>
      </c>
      <c r="C6" s="60">
        <f>F9+F24+F39+F54+F69+F84+F99</f>
        <v>25</v>
      </c>
      <c r="D6" s="7"/>
      <c r="E6" s="7"/>
      <c r="F6" s="7"/>
      <c r="G6" s="7"/>
      <c r="H6" s="8"/>
    </row>
    <row r="7">
      <c r="A7" s="82" t="s">
        <v>253</v>
      </c>
    </row>
    <row r="9">
      <c r="A9" s="61" t="s">
        <v>254</v>
      </c>
      <c r="E9" s="86" t="s">
        <v>160</v>
      </c>
      <c r="F9" s="63">
        <v>10.0</v>
      </c>
      <c r="G9" s="86" t="s">
        <v>241</v>
      </c>
      <c r="H9" s="63">
        <v>15.0</v>
      </c>
    </row>
    <row r="10">
      <c r="A10" s="87" t="s">
        <v>255</v>
      </c>
    </row>
    <row r="11">
      <c r="A11" s="76" t="s">
        <v>172</v>
      </c>
      <c r="B11" s="25" t="s">
        <v>81</v>
      </c>
      <c r="C11" s="7"/>
      <c r="D11" s="7"/>
      <c r="E11" s="7"/>
      <c r="F11" s="7"/>
      <c r="G11" s="7"/>
      <c r="H11" s="8"/>
    </row>
    <row r="12">
      <c r="A12" s="76" t="s">
        <v>172</v>
      </c>
      <c r="B12" s="25"/>
      <c r="C12" s="7"/>
      <c r="D12" s="7"/>
      <c r="E12" s="7"/>
      <c r="F12" s="7"/>
      <c r="G12" s="7"/>
      <c r="H12" s="8"/>
    </row>
    <row r="13">
      <c r="A13" s="76" t="s">
        <v>172</v>
      </c>
      <c r="B13" s="25"/>
      <c r="C13" s="7"/>
      <c r="D13" s="7"/>
      <c r="E13" s="7"/>
      <c r="F13" s="7"/>
      <c r="G13" s="7"/>
      <c r="H13" s="8"/>
    </row>
    <row r="14">
      <c r="A14" s="76" t="s">
        <v>242</v>
      </c>
      <c r="B14" s="25" t="s">
        <v>256</v>
      </c>
      <c r="C14" s="7"/>
      <c r="D14" s="7"/>
      <c r="E14" s="7"/>
      <c r="F14" s="7"/>
      <c r="G14" s="7"/>
      <c r="H14" s="8"/>
    </row>
    <row r="15">
      <c r="A15" s="47" t="s">
        <v>244</v>
      </c>
      <c r="B15" s="7"/>
      <c r="C15" s="7"/>
      <c r="D15" s="7"/>
      <c r="E15" s="7"/>
      <c r="F15" s="7"/>
      <c r="G15" s="7"/>
      <c r="H15" s="8"/>
    </row>
    <row r="16">
      <c r="A16" s="77" t="s">
        <v>257</v>
      </c>
      <c r="B16" s="49"/>
      <c r="C16" s="49"/>
      <c r="D16" s="49"/>
      <c r="E16" s="49"/>
      <c r="F16" s="49"/>
      <c r="G16" s="49"/>
      <c r="H16" s="50"/>
    </row>
    <row r="17">
      <c r="A17" s="83"/>
      <c r="H17" s="84"/>
    </row>
    <row r="18">
      <c r="A18" s="51"/>
      <c r="B18" s="52"/>
      <c r="C18" s="52"/>
      <c r="D18" s="52"/>
      <c r="E18" s="52"/>
      <c r="F18" s="52"/>
      <c r="G18" s="52"/>
      <c r="H18" s="53"/>
    </row>
    <row r="19">
      <c r="A19" s="47" t="s">
        <v>246</v>
      </c>
      <c r="B19" s="7"/>
      <c r="C19" s="7"/>
      <c r="D19" s="7"/>
      <c r="E19" s="7"/>
      <c r="F19" s="7"/>
      <c r="G19" s="7"/>
      <c r="H19" s="8"/>
    </row>
    <row r="20">
      <c r="A20" s="77" t="s">
        <v>258</v>
      </c>
      <c r="B20" s="49"/>
      <c r="C20" s="49"/>
      <c r="D20" s="49"/>
      <c r="E20" s="49"/>
      <c r="F20" s="49"/>
      <c r="G20" s="49"/>
      <c r="H20" s="50"/>
    </row>
    <row r="21" ht="15.75" customHeight="1">
      <c r="A21" s="83"/>
      <c r="H21" s="84"/>
    </row>
    <row r="22" ht="15.75" customHeight="1">
      <c r="A22" s="51"/>
      <c r="B22" s="52"/>
      <c r="C22" s="52"/>
      <c r="D22" s="52"/>
      <c r="E22" s="52"/>
      <c r="F22" s="52"/>
      <c r="G22" s="52"/>
      <c r="H22" s="53"/>
    </row>
    <row r="23" ht="15.75" customHeight="1"/>
    <row r="24" ht="15.75" customHeight="1">
      <c r="A24" s="61" t="s">
        <v>259</v>
      </c>
      <c r="E24" s="86" t="s">
        <v>160</v>
      </c>
      <c r="F24" s="63">
        <v>15.0</v>
      </c>
      <c r="G24" s="86" t="s">
        <v>241</v>
      </c>
      <c r="H24" s="63">
        <v>25.0</v>
      </c>
    </row>
    <row r="25" ht="15.75" customHeight="1">
      <c r="A25" s="87" t="s">
        <v>255</v>
      </c>
    </row>
    <row r="26" ht="15.75" customHeight="1">
      <c r="A26" s="76" t="s">
        <v>172</v>
      </c>
      <c r="B26" s="25" t="s">
        <v>81</v>
      </c>
      <c r="C26" s="7"/>
      <c r="D26" s="7"/>
      <c r="E26" s="7"/>
      <c r="F26" s="7"/>
      <c r="G26" s="7"/>
      <c r="H26" s="8"/>
    </row>
    <row r="27" ht="15.75" customHeight="1">
      <c r="A27" s="76" t="s">
        <v>172</v>
      </c>
      <c r="B27" s="25" t="s">
        <v>109</v>
      </c>
      <c r="C27" s="7"/>
      <c r="D27" s="7"/>
      <c r="E27" s="7"/>
      <c r="F27" s="7"/>
      <c r="G27" s="7"/>
      <c r="H27" s="8"/>
    </row>
    <row r="28" ht="15.75" customHeight="1">
      <c r="A28" s="76" t="s">
        <v>172</v>
      </c>
      <c r="B28" s="25"/>
      <c r="C28" s="7"/>
      <c r="D28" s="7"/>
      <c r="E28" s="7"/>
      <c r="F28" s="7"/>
      <c r="G28" s="7"/>
      <c r="H28" s="8"/>
    </row>
    <row r="29" ht="15.75" customHeight="1">
      <c r="A29" s="76" t="s">
        <v>242</v>
      </c>
      <c r="B29" s="25" t="s">
        <v>260</v>
      </c>
      <c r="C29" s="7"/>
      <c r="D29" s="7"/>
      <c r="E29" s="7"/>
      <c r="F29" s="7"/>
      <c r="G29" s="7"/>
      <c r="H29" s="8"/>
    </row>
    <row r="30" ht="15.75" customHeight="1">
      <c r="A30" s="47" t="s">
        <v>244</v>
      </c>
      <c r="B30" s="7"/>
      <c r="C30" s="7"/>
      <c r="D30" s="7"/>
      <c r="E30" s="7"/>
      <c r="F30" s="7"/>
      <c r="G30" s="7"/>
      <c r="H30" s="8"/>
    </row>
    <row r="31" ht="15.75" customHeight="1">
      <c r="A31" s="77" t="s">
        <v>261</v>
      </c>
      <c r="B31" s="49"/>
      <c r="C31" s="49"/>
      <c r="D31" s="49"/>
      <c r="E31" s="49"/>
      <c r="F31" s="49"/>
      <c r="G31" s="49"/>
      <c r="H31" s="50"/>
    </row>
    <row r="32" ht="15.75" customHeight="1">
      <c r="A32" s="83"/>
      <c r="H32" s="84"/>
    </row>
    <row r="33" ht="15.75" customHeight="1">
      <c r="A33" s="51"/>
      <c r="B33" s="52"/>
      <c r="C33" s="52"/>
      <c r="D33" s="52"/>
      <c r="E33" s="52"/>
      <c r="F33" s="52"/>
      <c r="G33" s="52"/>
      <c r="H33" s="53"/>
    </row>
    <row r="34" ht="15.75" customHeight="1">
      <c r="A34" s="47" t="s">
        <v>246</v>
      </c>
      <c r="B34" s="7"/>
      <c r="C34" s="7"/>
      <c r="D34" s="7"/>
      <c r="E34" s="7"/>
      <c r="F34" s="7"/>
      <c r="G34" s="7"/>
      <c r="H34" s="8"/>
    </row>
    <row r="35" ht="15.75" customHeight="1">
      <c r="A35" s="77" t="s">
        <v>262</v>
      </c>
      <c r="B35" s="49"/>
      <c r="C35" s="49"/>
      <c r="D35" s="49"/>
      <c r="E35" s="49"/>
      <c r="F35" s="49"/>
      <c r="G35" s="49"/>
      <c r="H35" s="50"/>
    </row>
    <row r="36" ht="15.75" customHeight="1">
      <c r="A36" s="83"/>
      <c r="H36" s="84"/>
    </row>
    <row r="37" ht="15.75" customHeight="1">
      <c r="A37" s="51"/>
      <c r="B37" s="52"/>
      <c r="C37" s="52"/>
      <c r="D37" s="52"/>
      <c r="E37" s="52"/>
      <c r="F37" s="52"/>
      <c r="G37" s="52"/>
      <c r="H37" s="53"/>
    </row>
    <row r="38" ht="15.75" customHeight="1"/>
    <row r="39" ht="15.75" customHeight="1">
      <c r="A39" s="61" t="s">
        <v>263</v>
      </c>
      <c r="E39" s="86" t="s">
        <v>160</v>
      </c>
      <c r="F39" s="63">
        <v>0.0</v>
      </c>
      <c r="G39" s="86" t="s">
        <v>241</v>
      </c>
      <c r="H39" s="63">
        <v>0.0</v>
      </c>
    </row>
    <row r="40" ht="15.75" customHeight="1">
      <c r="A40" s="87" t="s">
        <v>255</v>
      </c>
    </row>
    <row r="41" ht="15.75" customHeight="1">
      <c r="A41" s="76" t="s">
        <v>172</v>
      </c>
      <c r="B41" s="25"/>
      <c r="C41" s="7"/>
      <c r="D41" s="7"/>
      <c r="E41" s="7"/>
      <c r="F41" s="7"/>
      <c r="G41" s="7"/>
      <c r="H41" s="8"/>
    </row>
    <row r="42" ht="15.75" customHeight="1">
      <c r="A42" s="76" t="s">
        <v>172</v>
      </c>
      <c r="B42" s="25"/>
      <c r="C42" s="7"/>
      <c r="D42" s="7"/>
      <c r="E42" s="7"/>
      <c r="F42" s="7"/>
      <c r="G42" s="7"/>
      <c r="H42" s="8"/>
    </row>
    <row r="43" ht="15.75" customHeight="1">
      <c r="A43" s="76" t="s">
        <v>172</v>
      </c>
      <c r="B43" s="25"/>
      <c r="C43" s="7"/>
      <c r="D43" s="7"/>
      <c r="E43" s="7"/>
      <c r="F43" s="7"/>
      <c r="G43" s="7"/>
      <c r="H43" s="8"/>
    </row>
    <row r="44" ht="15.75" customHeight="1">
      <c r="A44" s="76" t="s">
        <v>242</v>
      </c>
      <c r="B44" s="25" t="s">
        <v>204</v>
      </c>
      <c r="C44" s="7"/>
      <c r="D44" s="7"/>
      <c r="E44" s="7"/>
      <c r="F44" s="7"/>
      <c r="G44" s="7"/>
      <c r="H44" s="8"/>
    </row>
    <row r="45" ht="15.75" customHeight="1">
      <c r="A45" s="47" t="s">
        <v>244</v>
      </c>
      <c r="B45" s="7"/>
      <c r="C45" s="7"/>
      <c r="D45" s="7"/>
      <c r="E45" s="7"/>
      <c r="F45" s="7"/>
      <c r="G45" s="7"/>
      <c r="H45" s="8"/>
    </row>
    <row r="46" ht="15.75" customHeight="1">
      <c r="A46" s="77"/>
      <c r="B46" s="49"/>
      <c r="C46" s="49"/>
      <c r="D46" s="49"/>
      <c r="E46" s="49"/>
      <c r="F46" s="49"/>
      <c r="G46" s="49"/>
      <c r="H46" s="50"/>
    </row>
    <row r="47" ht="15.75" customHeight="1">
      <c r="A47" s="83"/>
      <c r="H47" s="84"/>
    </row>
    <row r="48" ht="15.75" customHeight="1">
      <c r="A48" s="51"/>
      <c r="B48" s="52"/>
      <c r="C48" s="52"/>
      <c r="D48" s="52"/>
      <c r="E48" s="52"/>
      <c r="F48" s="52"/>
      <c r="G48" s="52"/>
      <c r="H48" s="53"/>
    </row>
    <row r="49" ht="15.75" customHeight="1">
      <c r="A49" s="47" t="s">
        <v>246</v>
      </c>
      <c r="B49" s="7"/>
      <c r="C49" s="7"/>
      <c r="D49" s="7"/>
      <c r="E49" s="7"/>
      <c r="F49" s="7"/>
      <c r="G49" s="7"/>
      <c r="H49" s="8"/>
    </row>
    <row r="50" ht="15.75" customHeight="1">
      <c r="A50" s="77"/>
      <c r="B50" s="49"/>
      <c r="C50" s="49"/>
      <c r="D50" s="49"/>
      <c r="E50" s="49"/>
      <c r="F50" s="49"/>
      <c r="G50" s="49"/>
      <c r="H50" s="50"/>
    </row>
    <row r="51" ht="15.75" customHeight="1">
      <c r="A51" s="83"/>
      <c r="H51" s="84"/>
    </row>
    <row r="52" ht="15.75" customHeight="1">
      <c r="A52" s="51"/>
      <c r="B52" s="52"/>
      <c r="C52" s="52"/>
      <c r="D52" s="52"/>
      <c r="E52" s="52"/>
      <c r="F52" s="52"/>
      <c r="G52" s="52"/>
      <c r="H52" s="53"/>
    </row>
    <row r="53" ht="15.75" customHeight="1"/>
    <row r="54" ht="15.75" customHeight="1">
      <c r="A54" s="61" t="s">
        <v>264</v>
      </c>
      <c r="E54" s="86" t="s">
        <v>160</v>
      </c>
      <c r="F54" s="63">
        <v>0.0</v>
      </c>
      <c r="G54" s="86" t="s">
        <v>241</v>
      </c>
      <c r="H54" s="63">
        <v>0.0</v>
      </c>
    </row>
    <row r="55" ht="15.75" customHeight="1">
      <c r="A55" s="87" t="s">
        <v>255</v>
      </c>
    </row>
    <row r="56" ht="15.75" customHeight="1">
      <c r="A56" s="76" t="s">
        <v>172</v>
      </c>
      <c r="B56" s="25"/>
      <c r="C56" s="7"/>
      <c r="D56" s="7"/>
      <c r="E56" s="7"/>
      <c r="F56" s="7"/>
      <c r="G56" s="7"/>
      <c r="H56" s="8"/>
    </row>
    <row r="57" ht="15.75" customHeight="1">
      <c r="A57" s="76" t="s">
        <v>172</v>
      </c>
      <c r="B57" s="25"/>
      <c r="C57" s="7"/>
      <c r="D57" s="7"/>
      <c r="E57" s="7"/>
      <c r="F57" s="7"/>
      <c r="G57" s="7"/>
      <c r="H57" s="8"/>
    </row>
    <row r="58" ht="15.75" customHeight="1">
      <c r="A58" s="76" t="s">
        <v>172</v>
      </c>
      <c r="B58" s="25"/>
      <c r="C58" s="7"/>
      <c r="D58" s="7"/>
      <c r="E58" s="7"/>
      <c r="F58" s="7"/>
      <c r="G58" s="7"/>
      <c r="H58" s="8"/>
    </row>
    <row r="59" ht="15.75" customHeight="1">
      <c r="A59" s="76" t="s">
        <v>242</v>
      </c>
      <c r="B59" s="25" t="s">
        <v>204</v>
      </c>
      <c r="C59" s="7"/>
      <c r="D59" s="7"/>
      <c r="E59" s="7"/>
      <c r="F59" s="7"/>
      <c r="G59" s="7"/>
      <c r="H59" s="8"/>
    </row>
    <row r="60" ht="15.75" customHeight="1">
      <c r="A60" s="47" t="s">
        <v>244</v>
      </c>
      <c r="B60" s="7"/>
      <c r="C60" s="7"/>
      <c r="D60" s="7"/>
      <c r="E60" s="7"/>
      <c r="F60" s="7"/>
      <c r="G60" s="7"/>
      <c r="H60" s="8"/>
    </row>
    <row r="61" ht="15.75" customHeight="1">
      <c r="A61" s="77"/>
      <c r="B61" s="49"/>
      <c r="C61" s="49"/>
      <c r="D61" s="49"/>
      <c r="E61" s="49"/>
      <c r="F61" s="49"/>
      <c r="G61" s="49"/>
      <c r="H61" s="50"/>
    </row>
    <row r="62" ht="15.75" customHeight="1">
      <c r="A62" s="83"/>
      <c r="H62" s="84"/>
    </row>
    <row r="63" ht="15.75" customHeight="1">
      <c r="A63" s="51"/>
      <c r="B63" s="52"/>
      <c r="C63" s="52"/>
      <c r="D63" s="52"/>
      <c r="E63" s="52"/>
      <c r="F63" s="52"/>
      <c r="G63" s="52"/>
      <c r="H63" s="53"/>
    </row>
    <row r="64" ht="15.75" customHeight="1">
      <c r="A64" s="47" t="s">
        <v>246</v>
      </c>
      <c r="B64" s="7"/>
      <c r="C64" s="7"/>
      <c r="D64" s="7"/>
      <c r="E64" s="7"/>
      <c r="F64" s="7"/>
      <c r="G64" s="7"/>
      <c r="H64" s="8"/>
    </row>
    <row r="65" ht="15.75" customHeight="1">
      <c r="A65" s="77"/>
      <c r="B65" s="49"/>
      <c r="C65" s="49"/>
      <c r="D65" s="49"/>
      <c r="E65" s="49"/>
      <c r="F65" s="49"/>
      <c r="G65" s="49"/>
      <c r="H65" s="50"/>
    </row>
    <row r="66" ht="15.75" customHeight="1">
      <c r="A66" s="83"/>
      <c r="H66" s="84"/>
    </row>
    <row r="67" ht="15.75" customHeight="1">
      <c r="A67" s="51"/>
      <c r="B67" s="52"/>
      <c r="C67" s="52"/>
      <c r="D67" s="52"/>
      <c r="E67" s="52"/>
      <c r="F67" s="52"/>
      <c r="G67" s="52"/>
      <c r="H67" s="53"/>
    </row>
    <row r="68" ht="15.75" customHeight="1"/>
    <row r="69" ht="15.75" customHeight="1">
      <c r="A69" s="61" t="s">
        <v>265</v>
      </c>
      <c r="E69" s="86" t="s">
        <v>160</v>
      </c>
      <c r="F69" s="63">
        <v>0.0</v>
      </c>
      <c r="G69" s="86" t="s">
        <v>241</v>
      </c>
      <c r="H69" s="63">
        <v>0.0</v>
      </c>
    </row>
    <row r="70" ht="15.75" customHeight="1">
      <c r="A70" s="87" t="s">
        <v>255</v>
      </c>
    </row>
    <row r="71" ht="15.75" customHeight="1">
      <c r="A71" s="76" t="s">
        <v>172</v>
      </c>
      <c r="B71" s="25"/>
      <c r="C71" s="7"/>
      <c r="D71" s="7"/>
      <c r="E71" s="7"/>
      <c r="F71" s="7"/>
      <c r="G71" s="7"/>
      <c r="H71" s="8"/>
    </row>
    <row r="72" ht="15.75" customHeight="1">
      <c r="A72" s="76" t="s">
        <v>172</v>
      </c>
      <c r="B72" s="25"/>
      <c r="C72" s="7"/>
      <c r="D72" s="7"/>
      <c r="E72" s="7"/>
      <c r="F72" s="7"/>
      <c r="G72" s="7"/>
      <c r="H72" s="8"/>
    </row>
    <row r="73" ht="15.75" customHeight="1">
      <c r="A73" s="76" t="s">
        <v>172</v>
      </c>
      <c r="B73" s="25"/>
      <c r="C73" s="7"/>
      <c r="D73" s="7"/>
      <c r="E73" s="7"/>
      <c r="F73" s="7"/>
      <c r="G73" s="7"/>
      <c r="H73" s="8"/>
    </row>
    <row r="74" ht="15.75" customHeight="1">
      <c r="A74" s="76" t="s">
        <v>242</v>
      </c>
      <c r="B74" s="25" t="s">
        <v>204</v>
      </c>
      <c r="C74" s="7"/>
      <c r="D74" s="7"/>
      <c r="E74" s="7"/>
      <c r="F74" s="7"/>
      <c r="G74" s="7"/>
      <c r="H74" s="8"/>
    </row>
    <row r="75" ht="15.75" customHeight="1">
      <c r="A75" s="47" t="s">
        <v>244</v>
      </c>
      <c r="B75" s="7"/>
      <c r="C75" s="7"/>
      <c r="D75" s="7"/>
      <c r="E75" s="7"/>
      <c r="F75" s="7"/>
      <c r="G75" s="7"/>
      <c r="H75" s="8"/>
    </row>
    <row r="76" ht="15.75" customHeight="1">
      <c r="A76" s="77"/>
      <c r="B76" s="49"/>
      <c r="C76" s="49"/>
      <c r="D76" s="49"/>
      <c r="E76" s="49"/>
      <c r="F76" s="49"/>
      <c r="G76" s="49"/>
      <c r="H76" s="50"/>
    </row>
    <row r="77" ht="15.75" customHeight="1">
      <c r="A77" s="83"/>
      <c r="H77" s="84"/>
    </row>
    <row r="78" ht="15.75" customHeight="1">
      <c r="A78" s="51"/>
      <c r="B78" s="52"/>
      <c r="C78" s="52"/>
      <c r="D78" s="52"/>
      <c r="E78" s="52"/>
      <c r="F78" s="52"/>
      <c r="G78" s="52"/>
      <c r="H78" s="53"/>
    </row>
    <row r="79" ht="15.75" customHeight="1">
      <c r="A79" s="47" t="s">
        <v>246</v>
      </c>
      <c r="B79" s="7"/>
      <c r="C79" s="7"/>
      <c r="D79" s="7"/>
      <c r="E79" s="7"/>
      <c r="F79" s="7"/>
      <c r="G79" s="7"/>
      <c r="H79" s="8"/>
    </row>
    <row r="80" ht="15.75" customHeight="1">
      <c r="A80" s="77"/>
      <c r="B80" s="49"/>
      <c r="C80" s="49"/>
      <c r="D80" s="49"/>
      <c r="E80" s="49"/>
      <c r="F80" s="49"/>
      <c r="G80" s="49"/>
      <c r="H80" s="50"/>
    </row>
    <row r="81" ht="15.75" customHeight="1">
      <c r="A81" s="83"/>
      <c r="H81" s="84"/>
    </row>
    <row r="82" ht="15.75" customHeight="1">
      <c r="A82" s="51"/>
      <c r="B82" s="52"/>
      <c r="C82" s="52"/>
      <c r="D82" s="52"/>
      <c r="E82" s="52"/>
      <c r="F82" s="52"/>
      <c r="G82" s="52"/>
      <c r="H82" s="53"/>
    </row>
    <row r="83" ht="15.75" customHeight="1"/>
    <row r="84" ht="15.75" customHeight="1">
      <c r="A84" s="61" t="s">
        <v>266</v>
      </c>
      <c r="E84" s="86" t="s">
        <v>160</v>
      </c>
      <c r="F84" s="63">
        <v>0.0</v>
      </c>
      <c r="G84" s="86" t="s">
        <v>241</v>
      </c>
      <c r="H84" s="63">
        <v>0.0</v>
      </c>
    </row>
    <row r="85" ht="15.75" customHeight="1">
      <c r="A85" s="87" t="s">
        <v>255</v>
      </c>
    </row>
    <row r="86" ht="15.75" customHeight="1">
      <c r="A86" s="76" t="s">
        <v>172</v>
      </c>
      <c r="B86" s="25"/>
      <c r="C86" s="7"/>
      <c r="D86" s="7"/>
      <c r="E86" s="7"/>
      <c r="F86" s="7"/>
      <c r="G86" s="7"/>
      <c r="H86" s="8"/>
    </row>
    <row r="87" ht="15.75" customHeight="1">
      <c r="A87" s="76" t="s">
        <v>172</v>
      </c>
      <c r="B87" s="25"/>
      <c r="C87" s="7"/>
      <c r="D87" s="7"/>
      <c r="E87" s="7"/>
      <c r="F87" s="7"/>
      <c r="G87" s="7"/>
      <c r="H87" s="8"/>
    </row>
    <row r="88" ht="15.75" customHeight="1">
      <c r="A88" s="76" t="s">
        <v>172</v>
      </c>
      <c r="B88" s="25"/>
      <c r="C88" s="7"/>
      <c r="D88" s="7"/>
      <c r="E88" s="7"/>
      <c r="F88" s="7"/>
      <c r="G88" s="7"/>
      <c r="H88" s="8"/>
    </row>
    <row r="89" ht="15.75" customHeight="1">
      <c r="A89" s="76" t="s">
        <v>242</v>
      </c>
      <c r="B89" s="25" t="s">
        <v>204</v>
      </c>
      <c r="C89" s="7"/>
      <c r="D89" s="7"/>
      <c r="E89" s="7"/>
      <c r="F89" s="7"/>
      <c r="G89" s="7"/>
      <c r="H89" s="8"/>
    </row>
    <row r="90" ht="15.75" customHeight="1">
      <c r="A90" s="47" t="s">
        <v>244</v>
      </c>
      <c r="B90" s="7"/>
      <c r="C90" s="7"/>
      <c r="D90" s="7"/>
      <c r="E90" s="7"/>
      <c r="F90" s="7"/>
      <c r="G90" s="7"/>
      <c r="H90" s="8"/>
    </row>
    <row r="91" ht="15.75" customHeight="1">
      <c r="A91" s="77"/>
      <c r="B91" s="49"/>
      <c r="C91" s="49"/>
      <c r="D91" s="49"/>
      <c r="E91" s="49"/>
      <c r="F91" s="49"/>
      <c r="G91" s="49"/>
      <c r="H91" s="50"/>
    </row>
    <row r="92" ht="15.75" customHeight="1">
      <c r="A92" s="83"/>
      <c r="H92" s="84"/>
    </row>
    <row r="93" ht="15.75" customHeight="1">
      <c r="A93" s="51"/>
      <c r="B93" s="52"/>
      <c r="C93" s="52"/>
      <c r="D93" s="52"/>
      <c r="E93" s="52"/>
      <c r="F93" s="52"/>
      <c r="G93" s="52"/>
      <c r="H93" s="53"/>
    </row>
    <row r="94" ht="15.75" customHeight="1">
      <c r="A94" s="47" t="s">
        <v>246</v>
      </c>
      <c r="B94" s="7"/>
      <c r="C94" s="7"/>
      <c r="D94" s="7"/>
      <c r="E94" s="7"/>
      <c r="F94" s="7"/>
      <c r="G94" s="7"/>
      <c r="H94" s="8"/>
    </row>
    <row r="95" ht="15.75" customHeight="1">
      <c r="A95" s="77"/>
      <c r="B95" s="49"/>
      <c r="C95" s="49"/>
      <c r="D95" s="49"/>
      <c r="E95" s="49"/>
      <c r="F95" s="49"/>
      <c r="G95" s="49"/>
      <c r="H95" s="50"/>
    </row>
    <row r="96" ht="15.75" customHeight="1">
      <c r="A96" s="83"/>
      <c r="H96" s="84"/>
    </row>
    <row r="97" ht="15.75" customHeight="1">
      <c r="A97" s="51"/>
      <c r="B97" s="52"/>
      <c r="C97" s="52"/>
      <c r="D97" s="52"/>
      <c r="E97" s="52"/>
      <c r="F97" s="52"/>
      <c r="G97" s="52"/>
      <c r="H97" s="53"/>
    </row>
    <row r="98" ht="15.75" customHeight="1"/>
    <row r="99" ht="15.75" customHeight="1">
      <c r="A99" s="61" t="s">
        <v>267</v>
      </c>
      <c r="E99" s="86" t="s">
        <v>160</v>
      </c>
      <c r="F99" s="63">
        <v>0.0</v>
      </c>
      <c r="G99" s="86" t="s">
        <v>241</v>
      </c>
      <c r="H99" s="63">
        <v>0.0</v>
      </c>
    </row>
    <row r="100" ht="15.75" customHeight="1">
      <c r="A100" s="87" t="s">
        <v>255</v>
      </c>
    </row>
    <row r="101" ht="15.75" customHeight="1">
      <c r="A101" s="76" t="s">
        <v>172</v>
      </c>
      <c r="B101" s="25"/>
      <c r="C101" s="7"/>
      <c r="D101" s="7"/>
      <c r="E101" s="7"/>
      <c r="F101" s="7"/>
      <c r="G101" s="7"/>
      <c r="H101" s="8"/>
    </row>
    <row r="102" ht="15.75" customHeight="1">
      <c r="A102" s="76" t="s">
        <v>172</v>
      </c>
      <c r="B102" s="25"/>
      <c r="C102" s="7"/>
      <c r="D102" s="7"/>
      <c r="E102" s="7"/>
      <c r="F102" s="7"/>
      <c r="G102" s="7"/>
      <c r="H102" s="8"/>
    </row>
    <row r="103" ht="15.75" customHeight="1">
      <c r="A103" s="76" t="s">
        <v>172</v>
      </c>
      <c r="B103" s="25"/>
      <c r="C103" s="7"/>
      <c r="D103" s="7"/>
      <c r="E103" s="7"/>
      <c r="F103" s="7"/>
      <c r="G103" s="7"/>
      <c r="H103" s="8"/>
    </row>
    <row r="104" ht="15.75" customHeight="1">
      <c r="A104" s="76" t="s">
        <v>242</v>
      </c>
      <c r="B104" s="25" t="s">
        <v>204</v>
      </c>
      <c r="C104" s="7"/>
      <c r="D104" s="7"/>
      <c r="E104" s="7"/>
      <c r="F104" s="7"/>
      <c r="G104" s="7"/>
      <c r="H104" s="8"/>
    </row>
    <row r="105" ht="15.75" customHeight="1">
      <c r="A105" s="47" t="s">
        <v>244</v>
      </c>
      <c r="B105" s="7"/>
      <c r="C105" s="7"/>
      <c r="D105" s="7"/>
      <c r="E105" s="7"/>
      <c r="F105" s="7"/>
      <c r="G105" s="7"/>
      <c r="H105" s="8"/>
    </row>
    <row r="106" ht="15.75" customHeight="1">
      <c r="A106" s="77"/>
      <c r="B106" s="49"/>
      <c r="C106" s="49"/>
      <c r="D106" s="49"/>
      <c r="E106" s="49"/>
      <c r="F106" s="49"/>
      <c r="G106" s="49"/>
      <c r="H106" s="50"/>
    </row>
    <row r="107" ht="15.75" customHeight="1">
      <c r="A107" s="83"/>
      <c r="H107" s="84"/>
    </row>
    <row r="108" ht="15.75" customHeight="1">
      <c r="A108" s="51"/>
      <c r="B108" s="52"/>
      <c r="C108" s="52"/>
      <c r="D108" s="52"/>
      <c r="E108" s="52"/>
      <c r="F108" s="52"/>
      <c r="G108" s="52"/>
      <c r="H108" s="53"/>
    </row>
    <row r="109" ht="15.75" customHeight="1">
      <c r="A109" s="47" t="s">
        <v>246</v>
      </c>
      <c r="B109" s="7"/>
      <c r="C109" s="7"/>
      <c r="D109" s="7"/>
      <c r="E109" s="7"/>
      <c r="F109" s="7"/>
      <c r="G109" s="7"/>
      <c r="H109" s="8"/>
    </row>
    <row r="110" ht="15.75" customHeight="1">
      <c r="A110" s="77"/>
      <c r="B110" s="49"/>
      <c r="C110" s="49"/>
      <c r="D110" s="49"/>
      <c r="E110" s="49"/>
      <c r="F110" s="49"/>
      <c r="G110" s="49"/>
      <c r="H110" s="50"/>
    </row>
    <row r="111" ht="15.75" customHeight="1">
      <c r="A111" s="83"/>
      <c r="H111" s="84"/>
    </row>
    <row r="112" ht="15.75" customHeight="1">
      <c r="A112" s="51"/>
      <c r="B112" s="52"/>
      <c r="C112" s="52"/>
      <c r="D112" s="52"/>
      <c r="E112" s="52"/>
      <c r="F112" s="52"/>
      <c r="G112" s="52"/>
      <c r="H112" s="53"/>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7" width="12.0"/>
    <col customWidth="1" min="8" max="8" width="34.0"/>
    <col customWidth="1" min="9" max="10" width="8.71"/>
  </cols>
  <sheetData>
    <row r="1" ht="19.5" customHeight="1"/>
    <row r="2">
      <c r="B2" s="1" t="s">
        <v>17</v>
      </c>
    </row>
    <row r="4">
      <c r="B4" s="22" t="s">
        <v>1</v>
      </c>
      <c r="C4" s="85" t="s">
        <v>2</v>
      </c>
      <c r="D4" s="7"/>
      <c r="E4" s="7"/>
      <c r="F4" s="7"/>
      <c r="G4" s="7"/>
      <c r="H4" s="8"/>
    </row>
    <row r="5">
      <c r="B5" s="24" t="s">
        <v>115</v>
      </c>
      <c r="C5" s="60">
        <f>H9+H24+H39+H54+H69+H84+H99+H114</f>
        <v>9</v>
      </c>
      <c r="D5" s="7"/>
      <c r="E5" s="7"/>
      <c r="F5" s="7"/>
      <c r="G5" s="7"/>
      <c r="H5" s="8"/>
    </row>
    <row r="6">
      <c r="B6" s="24" t="s">
        <v>160</v>
      </c>
      <c r="C6" s="60">
        <f>F9+F24+F39+F54+F69+F84+F99+F114</f>
        <v>5</v>
      </c>
      <c r="D6" s="7"/>
      <c r="E6" s="7"/>
      <c r="F6" s="7"/>
      <c r="G6" s="7"/>
      <c r="H6" s="8"/>
    </row>
    <row r="7">
      <c r="A7" s="82" t="s">
        <v>268</v>
      </c>
    </row>
    <row r="9">
      <c r="A9" s="61" t="s">
        <v>269</v>
      </c>
      <c r="E9" s="86" t="s">
        <v>160</v>
      </c>
      <c r="F9" s="63">
        <v>0.5</v>
      </c>
      <c r="G9" s="86" t="s">
        <v>241</v>
      </c>
      <c r="H9" s="63">
        <v>1.0</v>
      </c>
    </row>
    <row r="10">
      <c r="A10" s="87" t="s">
        <v>270</v>
      </c>
      <c r="J10" s="3" t="s">
        <v>271</v>
      </c>
    </row>
    <row r="11">
      <c r="A11" s="76" t="s">
        <v>172</v>
      </c>
      <c r="B11" s="25"/>
      <c r="C11" s="7"/>
      <c r="D11" s="7"/>
      <c r="E11" s="7"/>
      <c r="F11" s="7"/>
      <c r="G11" s="7"/>
      <c r="H11" s="8"/>
      <c r="J11" s="3" t="s">
        <v>272</v>
      </c>
    </row>
    <row r="12">
      <c r="A12" s="76" t="s">
        <v>172</v>
      </c>
      <c r="B12" s="25"/>
      <c r="C12" s="7"/>
      <c r="D12" s="7"/>
      <c r="E12" s="7"/>
      <c r="F12" s="7"/>
      <c r="G12" s="7"/>
      <c r="H12" s="8"/>
    </row>
    <row r="13">
      <c r="A13" s="76" t="s">
        <v>172</v>
      </c>
      <c r="B13" s="25"/>
      <c r="C13" s="7"/>
      <c r="D13" s="7"/>
      <c r="E13" s="7"/>
      <c r="F13" s="7"/>
      <c r="G13" s="7"/>
      <c r="H13" s="8"/>
    </row>
    <row r="14" ht="21.0" customHeight="1">
      <c r="A14" s="76" t="s">
        <v>242</v>
      </c>
      <c r="B14" s="25" t="s">
        <v>273</v>
      </c>
      <c r="C14" s="7"/>
      <c r="D14" s="7"/>
      <c r="E14" s="7"/>
      <c r="F14" s="7"/>
      <c r="G14" s="7"/>
      <c r="H14" s="8"/>
    </row>
    <row r="15">
      <c r="A15" s="47" t="s">
        <v>244</v>
      </c>
      <c r="B15" s="7"/>
      <c r="C15" s="7"/>
      <c r="D15" s="7"/>
      <c r="E15" s="7"/>
      <c r="F15" s="7"/>
      <c r="G15" s="7"/>
      <c r="H15" s="8"/>
    </row>
    <row r="16">
      <c r="A16" s="77" t="s">
        <v>274</v>
      </c>
      <c r="B16" s="49"/>
      <c r="C16" s="49"/>
      <c r="D16" s="49"/>
      <c r="E16" s="49"/>
      <c r="F16" s="49"/>
      <c r="G16" s="49"/>
      <c r="H16" s="50"/>
    </row>
    <row r="17">
      <c r="A17" s="83"/>
      <c r="H17" s="84"/>
    </row>
    <row r="18">
      <c r="A18" s="51"/>
      <c r="B18" s="52"/>
      <c r="C18" s="52"/>
      <c r="D18" s="52"/>
      <c r="E18" s="52"/>
      <c r="F18" s="52"/>
      <c r="G18" s="52"/>
      <c r="H18" s="53"/>
    </row>
    <row r="19">
      <c r="A19" s="47" t="s">
        <v>275</v>
      </c>
      <c r="B19" s="7"/>
      <c r="C19" s="7"/>
      <c r="D19" s="7"/>
      <c r="E19" s="7"/>
      <c r="F19" s="7"/>
      <c r="G19" s="7"/>
      <c r="H19" s="8"/>
    </row>
    <row r="20">
      <c r="A20" s="77" t="s">
        <v>276</v>
      </c>
      <c r="B20" s="49"/>
      <c r="C20" s="49"/>
      <c r="D20" s="49"/>
      <c r="E20" s="49"/>
      <c r="F20" s="49"/>
      <c r="G20" s="49"/>
      <c r="H20" s="50"/>
    </row>
    <row r="21" ht="15.75" customHeight="1">
      <c r="A21" s="83"/>
      <c r="H21" s="84"/>
    </row>
    <row r="22" ht="15.75" customHeight="1">
      <c r="A22" s="51"/>
      <c r="B22" s="52"/>
      <c r="C22" s="52"/>
      <c r="D22" s="52"/>
      <c r="E22" s="52"/>
      <c r="F22" s="52"/>
      <c r="G22" s="52"/>
      <c r="H22" s="53"/>
    </row>
    <row r="23" ht="15.75" customHeight="1"/>
    <row r="24" ht="15.75" customHeight="1">
      <c r="A24" s="61" t="s">
        <v>277</v>
      </c>
      <c r="E24" s="86" t="s">
        <v>160</v>
      </c>
      <c r="F24" s="63">
        <v>0.5</v>
      </c>
      <c r="G24" s="86" t="s">
        <v>241</v>
      </c>
      <c r="H24" s="63">
        <v>2.0</v>
      </c>
    </row>
    <row r="25" ht="15.75" customHeight="1">
      <c r="A25" s="87" t="s">
        <v>255</v>
      </c>
    </row>
    <row r="26" ht="15.75" customHeight="1">
      <c r="A26" s="76" t="s">
        <v>172</v>
      </c>
      <c r="B26" s="25" t="s">
        <v>81</v>
      </c>
      <c r="C26" s="7"/>
      <c r="D26" s="7"/>
      <c r="E26" s="7"/>
      <c r="F26" s="7"/>
      <c r="G26" s="7"/>
      <c r="H26" s="8"/>
    </row>
    <row r="27" ht="15.75" customHeight="1">
      <c r="A27" s="76" t="s">
        <v>172</v>
      </c>
      <c r="B27" s="25"/>
      <c r="C27" s="7"/>
      <c r="D27" s="7"/>
      <c r="E27" s="7"/>
      <c r="F27" s="7"/>
      <c r="G27" s="7"/>
      <c r="H27" s="8"/>
    </row>
    <row r="28" ht="15.75" customHeight="1">
      <c r="A28" s="76" t="s">
        <v>172</v>
      </c>
      <c r="B28" s="25"/>
      <c r="C28" s="7"/>
      <c r="D28" s="7"/>
      <c r="E28" s="7"/>
      <c r="F28" s="7"/>
      <c r="G28" s="7"/>
      <c r="H28" s="8"/>
    </row>
    <row r="29" ht="25.5" customHeight="1">
      <c r="A29" s="76" t="s">
        <v>242</v>
      </c>
      <c r="B29" s="25" t="s">
        <v>278</v>
      </c>
      <c r="C29" s="7"/>
      <c r="D29" s="7"/>
      <c r="E29" s="7"/>
      <c r="F29" s="7"/>
      <c r="G29" s="7"/>
      <c r="H29" s="8"/>
    </row>
    <row r="30" ht="15.75" customHeight="1">
      <c r="A30" s="47" t="s">
        <v>244</v>
      </c>
      <c r="B30" s="7"/>
      <c r="C30" s="7"/>
      <c r="D30" s="7"/>
      <c r="E30" s="7"/>
      <c r="F30" s="7"/>
      <c r="G30" s="7"/>
      <c r="H30" s="8"/>
    </row>
    <row r="31" ht="15.75" customHeight="1">
      <c r="A31" s="77" t="s">
        <v>274</v>
      </c>
      <c r="B31" s="49"/>
      <c r="C31" s="49"/>
      <c r="D31" s="49"/>
      <c r="E31" s="49"/>
      <c r="F31" s="49"/>
      <c r="G31" s="49"/>
      <c r="H31" s="50"/>
    </row>
    <row r="32" ht="15.75" customHeight="1">
      <c r="A32" s="83"/>
      <c r="H32" s="84"/>
    </row>
    <row r="33" ht="15.75" customHeight="1">
      <c r="A33" s="51"/>
      <c r="B33" s="52"/>
      <c r="C33" s="52"/>
      <c r="D33" s="52"/>
      <c r="E33" s="52"/>
      <c r="F33" s="52"/>
      <c r="G33" s="52"/>
      <c r="H33" s="53"/>
    </row>
    <row r="34" ht="15.75" customHeight="1">
      <c r="A34" s="47" t="s">
        <v>246</v>
      </c>
      <c r="B34" s="7"/>
      <c r="C34" s="7"/>
      <c r="D34" s="7"/>
      <c r="E34" s="7"/>
      <c r="F34" s="7"/>
      <c r="G34" s="7"/>
      <c r="H34" s="8"/>
    </row>
    <row r="35" ht="15.75" customHeight="1">
      <c r="A35" s="77" t="s">
        <v>279</v>
      </c>
      <c r="B35" s="49"/>
      <c r="C35" s="49"/>
      <c r="D35" s="49"/>
      <c r="E35" s="49"/>
      <c r="F35" s="49"/>
      <c r="G35" s="49"/>
      <c r="H35" s="50"/>
    </row>
    <row r="36" ht="15.75" customHeight="1">
      <c r="A36" s="83"/>
      <c r="H36" s="84"/>
    </row>
    <row r="37" ht="15.75" customHeight="1">
      <c r="A37" s="51"/>
      <c r="B37" s="52"/>
      <c r="C37" s="52"/>
      <c r="D37" s="52"/>
      <c r="E37" s="52"/>
      <c r="F37" s="52"/>
      <c r="G37" s="52"/>
      <c r="H37" s="53"/>
    </row>
    <row r="38" ht="15.75" customHeight="1"/>
    <row r="39" ht="15.75" customHeight="1">
      <c r="A39" s="61" t="s">
        <v>280</v>
      </c>
      <c r="E39" s="86" t="s">
        <v>160</v>
      </c>
      <c r="F39" s="63">
        <v>1.0</v>
      </c>
      <c r="G39" s="86" t="s">
        <v>241</v>
      </c>
      <c r="H39" s="63">
        <v>1.0</v>
      </c>
    </row>
    <row r="40" ht="15.75" customHeight="1">
      <c r="A40" s="87" t="s">
        <v>255</v>
      </c>
    </row>
    <row r="41" ht="15.75" customHeight="1">
      <c r="A41" s="76" t="s">
        <v>172</v>
      </c>
      <c r="B41" s="25" t="s">
        <v>85</v>
      </c>
      <c r="C41" s="7"/>
      <c r="D41" s="7"/>
      <c r="E41" s="7"/>
      <c r="F41" s="7"/>
      <c r="G41" s="7"/>
      <c r="H41" s="8"/>
    </row>
    <row r="42" ht="15.75" customHeight="1">
      <c r="A42" s="76" t="s">
        <v>172</v>
      </c>
      <c r="B42" s="25"/>
      <c r="C42" s="7"/>
      <c r="D42" s="7"/>
      <c r="E42" s="7"/>
      <c r="F42" s="7"/>
      <c r="G42" s="7"/>
      <c r="H42" s="8"/>
    </row>
    <row r="43" ht="15.75" customHeight="1">
      <c r="A43" s="76" t="s">
        <v>172</v>
      </c>
      <c r="B43" s="25"/>
      <c r="C43" s="7"/>
      <c r="D43" s="7"/>
      <c r="E43" s="7"/>
      <c r="F43" s="7"/>
      <c r="G43" s="7"/>
      <c r="H43" s="8"/>
    </row>
    <row r="44" ht="18.0" customHeight="1">
      <c r="A44" s="76" t="s">
        <v>242</v>
      </c>
      <c r="B44" s="25" t="s">
        <v>281</v>
      </c>
      <c r="C44" s="7"/>
      <c r="D44" s="7"/>
      <c r="E44" s="7"/>
      <c r="F44" s="7"/>
      <c r="G44" s="7"/>
      <c r="H44" s="8"/>
    </row>
    <row r="45" ht="15.75" customHeight="1">
      <c r="A45" s="47" t="s">
        <v>244</v>
      </c>
      <c r="B45" s="7"/>
      <c r="C45" s="7"/>
      <c r="D45" s="7"/>
      <c r="E45" s="7"/>
      <c r="F45" s="7"/>
      <c r="G45" s="7"/>
      <c r="H45" s="8"/>
    </row>
    <row r="46" ht="15.75" customHeight="1">
      <c r="A46" s="77" t="s">
        <v>274</v>
      </c>
      <c r="B46" s="49"/>
      <c r="C46" s="49"/>
      <c r="D46" s="49"/>
      <c r="E46" s="49"/>
      <c r="F46" s="49"/>
      <c r="G46" s="49"/>
      <c r="H46" s="50"/>
    </row>
    <row r="47" ht="15.75" customHeight="1">
      <c r="A47" s="83"/>
      <c r="H47" s="84"/>
    </row>
    <row r="48" ht="15.75" customHeight="1">
      <c r="A48" s="51"/>
      <c r="B48" s="52"/>
      <c r="C48" s="52"/>
      <c r="D48" s="52"/>
      <c r="E48" s="52"/>
      <c r="F48" s="52"/>
      <c r="G48" s="52"/>
      <c r="H48" s="53"/>
    </row>
    <row r="49" ht="15.75" customHeight="1">
      <c r="A49" s="47" t="s">
        <v>246</v>
      </c>
      <c r="B49" s="7"/>
      <c r="C49" s="7"/>
      <c r="D49" s="7"/>
      <c r="E49" s="7"/>
      <c r="F49" s="7"/>
      <c r="G49" s="7"/>
      <c r="H49" s="8"/>
    </row>
    <row r="50" ht="15.75" customHeight="1">
      <c r="A50" s="77" t="s">
        <v>282</v>
      </c>
      <c r="B50" s="49"/>
      <c r="C50" s="49"/>
      <c r="D50" s="49"/>
      <c r="E50" s="49"/>
      <c r="F50" s="49"/>
      <c r="G50" s="49"/>
      <c r="H50" s="50"/>
    </row>
    <row r="51" ht="15.75" customHeight="1">
      <c r="A51" s="83"/>
      <c r="H51" s="84"/>
    </row>
    <row r="52" ht="15.75" customHeight="1">
      <c r="A52" s="51"/>
      <c r="B52" s="52"/>
      <c r="C52" s="52"/>
      <c r="D52" s="52"/>
      <c r="E52" s="52"/>
      <c r="F52" s="52"/>
      <c r="G52" s="52"/>
      <c r="H52" s="53"/>
    </row>
    <row r="53" ht="15.75" customHeight="1"/>
    <row r="54" ht="15.75" customHeight="1">
      <c r="A54" s="61" t="s">
        <v>283</v>
      </c>
      <c r="E54" s="86" t="s">
        <v>160</v>
      </c>
      <c r="F54" s="63">
        <v>1.0</v>
      </c>
      <c r="G54" s="86" t="s">
        <v>241</v>
      </c>
      <c r="H54" s="63">
        <v>1.0</v>
      </c>
    </row>
    <row r="55" ht="15.75" customHeight="1">
      <c r="A55" s="87" t="s">
        <v>255</v>
      </c>
    </row>
    <row r="56" ht="15.75" customHeight="1">
      <c r="A56" s="76" t="s">
        <v>172</v>
      </c>
      <c r="B56" s="25" t="s">
        <v>105</v>
      </c>
      <c r="C56" s="7"/>
      <c r="D56" s="7"/>
      <c r="E56" s="7"/>
      <c r="F56" s="7"/>
      <c r="G56" s="7"/>
      <c r="H56" s="8"/>
    </row>
    <row r="57" ht="15.75" customHeight="1">
      <c r="A57" s="76" t="s">
        <v>172</v>
      </c>
      <c r="B57" s="25"/>
      <c r="C57" s="7"/>
      <c r="D57" s="7"/>
      <c r="E57" s="7"/>
      <c r="F57" s="7"/>
      <c r="G57" s="7"/>
      <c r="H57" s="8"/>
    </row>
    <row r="58" ht="15.75" customHeight="1">
      <c r="A58" s="76" t="s">
        <v>172</v>
      </c>
      <c r="B58" s="25"/>
      <c r="C58" s="7"/>
      <c r="D58" s="7"/>
      <c r="E58" s="7"/>
      <c r="F58" s="7"/>
      <c r="G58" s="7"/>
      <c r="H58" s="8"/>
    </row>
    <row r="59" ht="21.75" customHeight="1">
      <c r="A59" s="76" t="s">
        <v>242</v>
      </c>
      <c r="B59" s="25" t="s">
        <v>284</v>
      </c>
      <c r="C59" s="7"/>
      <c r="D59" s="7"/>
      <c r="E59" s="7"/>
      <c r="F59" s="7"/>
      <c r="G59" s="7"/>
      <c r="H59" s="8"/>
    </row>
    <row r="60" ht="15.75" customHeight="1">
      <c r="A60" s="47" t="s">
        <v>244</v>
      </c>
      <c r="B60" s="7"/>
      <c r="C60" s="7"/>
      <c r="D60" s="7"/>
      <c r="E60" s="7"/>
      <c r="F60" s="7"/>
      <c r="G60" s="7"/>
      <c r="H60" s="8"/>
    </row>
    <row r="61" ht="15.75" customHeight="1">
      <c r="A61" s="77" t="s">
        <v>274</v>
      </c>
      <c r="B61" s="49"/>
      <c r="C61" s="49"/>
      <c r="D61" s="49"/>
      <c r="E61" s="49"/>
      <c r="F61" s="49"/>
      <c r="G61" s="49"/>
      <c r="H61" s="50"/>
    </row>
    <row r="62" ht="15.75" customHeight="1">
      <c r="A62" s="83"/>
      <c r="H62" s="84"/>
    </row>
    <row r="63" ht="15.75" customHeight="1">
      <c r="A63" s="51"/>
      <c r="B63" s="52"/>
      <c r="C63" s="52"/>
      <c r="D63" s="52"/>
      <c r="E63" s="52"/>
      <c r="F63" s="52"/>
      <c r="G63" s="52"/>
      <c r="H63" s="53"/>
    </row>
    <row r="64" ht="15.75" customHeight="1">
      <c r="A64" s="47" t="s">
        <v>246</v>
      </c>
      <c r="B64" s="7"/>
      <c r="C64" s="7"/>
      <c r="D64" s="7"/>
      <c r="E64" s="7"/>
      <c r="F64" s="7"/>
      <c r="G64" s="7"/>
      <c r="H64" s="8"/>
    </row>
    <row r="65" ht="15.75" customHeight="1">
      <c r="A65" s="77" t="s">
        <v>285</v>
      </c>
      <c r="B65" s="49"/>
      <c r="C65" s="49"/>
      <c r="D65" s="49"/>
      <c r="E65" s="49"/>
      <c r="F65" s="49"/>
      <c r="G65" s="49"/>
      <c r="H65" s="50"/>
    </row>
    <row r="66" ht="15.75" customHeight="1">
      <c r="A66" s="83"/>
      <c r="H66" s="84"/>
    </row>
    <row r="67" ht="15.75" customHeight="1">
      <c r="A67" s="51"/>
      <c r="B67" s="52"/>
      <c r="C67" s="52"/>
      <c r="D67" s="52"/>
      <c r="E67" s="52"/>
      <c r="F67" s="52"/>
      <c r="G67" s="52"/>
      <c r="H67" s="53"/>
    </row>
    <row r="68" ht="15.75" customHeight="1"/>
    <row r="69" ht="15.75" customHeight="1">
      <c r="A69" s="61" t="s">
        <v>286</v>
      </c>
      <c r="E69" s="86" t="s">
        <v>160</v>
      </c>
      <c r="F69" s="63">
        <v>1.0</v>
      </c>
      <c r="G69" s="86" t="s">
        <v>241</v>
      </c>
      <c r="H69" s="63">
        <v>3.0</v>
      </c>
    </row>
    <row r="70" ht="15.75" customHeight="1">
      <c r="A70" s="87" t="s">
        <v>255</v>
      </c>
    </row>
    <row r="71" ht="15.75" customHeight="1">
      <c r="A71" s="76" t="s">
        <v>172</v>
      </c>
      <c r="B71" s="25" t="s">
        <v>101</v>
      </c>
      <c r="C71" s="7"/>
      <c r="D71" s="7"/>
      <c r="E71" s="7"/>
      <c r="F71" s="7"/>
      <c r="G71" s="7"/>
      <c r="H71" s="8"/>
    </row>
    <row r="72" ht="15.75" customHeight="1">
      <c r="A72" s="76" t="s">
        <v>172</v>
      </c>
      <c r="B72" s="25"/>
      <c r="C72" s="7"/>
      <c r="D72" s="7"/>
      <c r="E72" s="7"/>
      <c r="F72" s="7"/>
      <c r="G72" s="7"/>
      <c r="H72" s="8"/>
    </row>
    <row r="73" ht="15.75" customHeight="1">
      <c r="A73" s="76" t="s">
        <v>172</v>
      </c>
      <c r="B73" s="25"/>
      <c r="C73" s="7"/>
      <c r="D73" s="7"/>
      <c r="E73" s="7"/>
      <c r="F73" s="7"/>
      <c r="G73" s="7"/>
      <c r="H73" s="8"/>
    </row>
    <row r="74" ht="20.25" customHeight="1">
      <c r="A74" s="76" t="s">
        <v>242</v>
      </c>
      <c r="B74" s="25" t="s">
        <v>287</v>
      </c>
      <c r="C74" s="7"/>
      <c r="D74" s="7"/>
      <c r="E74" s="7"/>
      <c r="F74" s="7"/>
      <c r="G74" s="7"/>
      <c r="H74" s="8"/>
    </row>
    <row r="75" ht="15.75" customHeight="1">
      <c r="A75" s="47" t="s">
        <v>244</v>
      </c>
      <c r="B75" s="7"/>
      <c r="C75" s="7"/>
      <c r="D75" s="7"/>
      <c r="E75" s="7"/>
      <c r="F75" s="7"/>
      <c r="G75" s="7"/>
      <c r="H75" s="8"/>
    </row>
    <row r="76" ht="15.75" customHeight="1">
      <c r="A76" s="77" t="s">
        <v>288</v>
      </c>
      <c r="B76" s="49"/>
      <c r="C76" s="49"/>
      <c r="D76" s="49"/>
      <c r="E76" s="49"/>
      <c r="F76" s="49"/>
      <c r="G76" s="49"/>
      <c r="H76" s="50"/>
    </row>
    <row r="77" ht="15.75" customHeight="1">
      <c r="A77" s="83"/>
      <c r="H77" s="84"/>
    </row>
    <row r="78" ht="15.75" customHeight="1">
      <c r="A78" s="51"/>
      <c r="B78" s="52"/>
      <c r="C78" s="52"/>
      <c r="D78" s="52"/>
      <c r="E78" s="52"/>
      <c r="F78" s="52"/>
      <c r="G78" s="52"/>
      <c r="H78" s="53"/>
    </row>
    <row r="79" ht="15.75" customHeight="1">
      <c r="A79" s="47" t="s">
        <v>246</v>
      </c>
      <c r="B79" s="7"/>
      <c r="C79" s="7"/>
      <c r="D79" s="7"/>
      <c r="E79" s="7"/>
      <c r="F79" s="7"/>
      <c r="G79" s="7"/>
      <c r="H79" s="8"/>
    </row>
    <row r="80" ht="15.75" customHeight="1">
      <c r="A80" s="77" t="s">
        <v>289</v>
      </c>
      <c r="B80" s="49"/>
      <c r="C80" s="49"/>
      <c r="D80" s="49"/>
      <c r="E80" s="49"/>
      <c r="F80" s="49"/>
      <c r="G80" s="49"/>
      <c r="H80" s="50"/>
    </row>
    <row r="81" ht="15.75" customHeight="1">
      <c r="A81" s="83"/>
      <c r="H81" s="84"/>
    </row>
    <row r="82" ht="15.75" customHeight="1">
      <c r="A82" s="51"/>
      <c r="B82" s="52"/>
      <c r="C82" s="52"/>
      <c r="D82" s="52"/>
      <c r="E82" s="52"/>
      <c r="F82" s="52"/>
      <c r="G82" s="52"/>
      <c r="H82" s="53"/>
    </row>
    <row r="83" ht="15.75" customHeight="1"/>
    <row r="84" ht="15.75" customHeight="1">
      <c r="A84" s="61" t="s">
        <v>290</v>
      </c>
      <c r="E84" s="86" t="s">
        <v>160</v>
      </c>
      <c r="F84" s="63">
        <v>1.0</v>
      </c>
      <c r="G84" s="86" t="s">
        <v>241</v>
      </c>
      <c r="H84" s="63">
        <v>1.0</v>
      </c>
    </row>
    <row r="85" ht="15.75" customHeight="1">
      <c r="A85" s="87" t="s">
        <v>255</v>
      </c>
    </row>
    <row r="86" ht="15.75" customHeight="1">
      <c r="A86" s="76" t="s">
        <v>172</v>
      </c>
      <c r="B86" s="25" t="s">
        <v>109</v>
      </c>
      <c r="C86" s="7"/>
      <c r="D86" s="7"/>
      <c r="E86" s="7"/>
      <c r="F86" s="7"/>
      <c r="G86" s="7"/>
      <c r="H86" s="8"/>
    </row>
    <row r="87" ht="15.75" customHeight="1">
      <c r="A87" s="76" t="s">
        <v>172</v>
      </c>
      <c r="B87" s="25"/>
      <c r="C87" s="7"/>
      <c r="D87" s="7"/>
      <c r="E87" s="7"/>
      <c r="F87" s="7"/>
      <c r="G87" s="7"/>
      <c r="H87" s="8"/>
    </row>
    <row r="88" ht="15.75" customHeight="1">
      <c r="A88" s="76" t="s">
        <v>172</v>
      </c>
      <c r="B88" s="25"/>
      <c r="C88" s="7"/>
      <c r="D88" s="7"/>
      <c r="E88" s="7"/>
      <c r="F88" s="7"/>
      <c r="G88" s="7"/>
      <c r="H88" s="8"/>
    </row>
    <row r="89" ht="13.5" customHeight="1">
      <c r="A89" s="76" t="s">
        <v>242</v>
      </c>
      <c r="B89" s="25" t="s">
        <v>291</v>
      </c>
      <c r="C89" s="7"/>
      <c r="D89" s="7"/>
      <c r="E89" s="7"/>
      <c r="F89" s="7"/>
      <c r="G89" s="7"/>
      <c r="H89" s="8"/>
    </row>
    <row r="90" ht="15.75" customHeight="1">
      <c r="A90" s="47" t="s">
        <v>244</v>
      </c>
      <c r="B90" s="7"/>
      <c r="C90" s="7"/>
      <c r="D90" s="7"/>
      <c r="E90" s="7"/>
      <c r="F90" s="7"/>
      <c r="G90" s="7"/>
      <c r="H90" s="8"/>
    </row>
    <row r="91" ht="15.75" customHeight="1">
      <c r="A91" s="77" t="s">
        <v>274</v>
      </c>
      <c r="B91" s="49"/>
      <c r="C91" s="49"/>
      <c r="D91" s="49"/>
      <c r="E91" s="49"/>
      <c r="F91" s="49"/>
      <c r="G91" s="49"/>
      <c r="H91" s="50"/>
    </row>
    <row r="92" ht="15.75" customHeight="1">
      <c r="A92" s="83"/>
      <c r="H92" s="84"/>
    </row>
    <row r="93" ht="15.75" customHeight="1">
      <c r="A93" s="51"/>
      <c r="B93" s="52"/>
      <c r="C93" s="52"/>
      <c r="D93" s="52"/>
      <c r="E93" s="52"/>
      <c r="F93" s="52"/>
      <c r="G93" s="52"/>
      <c r="H93" s="53"/>
    </row>
    <row r="94" ht="15.75" customHeight="1">
      <c r="A94" s="47" t="s">
        <v>246</v>
      </c>
      <c r="B94" s="7"/>
      <c r="C94" s="7"/>
      <c r="D94" s="7"/>
      <c r="E94" s="7"/>
      <c r="F94" s="7"/>
      <c r="G94" s="7"/>
      <c r="H94" s="8"/>
    </row>
    <row r="95" ht="15.75" customHeight="1">
      <c r="A95" s="77" t="s">
        <v>292</v>
      </c>
      <c r="B95" s="49"/>
      <c r="C95" s="49"/>
      <c r="D95" s="49"/>
      <c r="E95" s="49"/>
      <c r="F95" s="49"/>
      <c r="G95" s="49"/>
      <c r="H95" s="50"/>
    </row>
    <row r="96" ht="15.75" customHeight="1">
      <c r="A96" s="83"/>
      <c r="H96" s="84"/>
    </row>
    <row r="97" ht="15.75" customHeight="1">
      <c r="A97" s="51"/>
      <c r="B97" s="52"/>
      <c r="C97" s="52"/>
      <c r="D97" s="52"/>
      <c r="E97" s="52"/>
      <c r="F97" s="52"/>
      <c r="G97" s="52"/>
      <c r="H97" s="53"/>
    </row>
    <row r="98" ht="15.75" customHeight="1"/>
    <row r="99" ht="15.75" customHeight="1">
      <c r="A99" s="61" t="s">
        <v>293</v>
      </c>
      <c r="E99" s="86" t="s">
        <v>160</v>
      </c>
      <c r="F99" s="63"/>
      <c r="G99" s="86" t="s">
        <v>241</v>
      </c>
      <c r="H99" s="63"/>
    </row>
    <row r="100" ht="15.75" customHeight="1">
      <c r="A100" s="87" t="s">
        <v>255</v>
      </c>
    </row>
    <row r="101" ht="15.75" customHeight="1">
      <c r="A101" s="76" t="s">
        <v>172</v>
      </c>
      <c r="B101" s="25" t="s">
        <v>105</v>
      </c>
      <c r="C101" s="7"/>
      <c r="D101" s="7"/>
      <c r="E101" s="7"/>
      <c r="F101" s="7"/>
      <c r="G101" s="7"/>
      <c r="H101" s="8"/>
    </row>
    <row r="102" ht="15.75" customHeight="1">
      <c r="A102" s="76" t="s">
        <v>172</v>
      </c>
      <c r="B102" s="25"/>
      <c r="C102" s="7"/>
      <c r="D102" s="7"/>
      <c r="E102" s="7"/>
      <c r="F102" s="7"/>
      <c r="G102" s="7"/>
      <c r="H102" s="8"/>
    </row>
    <row r="103" ht="15.75" customHeight="1">
      <c r="A103" s="76" t="s">
        <v>172</v>
      </c>
      <c r="B103" s="25"/>
      <c r="C103" s="7"/>
      <c r="D103" s="7"/>
      <c r="E103" s="7"/>
      <c r="F103" s="7"/>
      <c r="G103" s="7"/>
      <c r="H103" s="8"/>
    </row>
    <row r="104" ht="15.75" customHeight="1">
      <c r="A104" s="76" t="s">
        <v>242</v>
      </c>
      <c r="B104" s="25" t="s">
        <v>294</v>
      </c>
      <c r="C104" s="7"/>
      <c r="D104" s="7"/>
      <c r="E104" s="7"/>
      <c r="F104" s="7"/>
      <c r="G104" s="7"/>
      <c r="H104" s="8"/>
    </row>
    <row r="105" ht="15.75" customHeight="1">
      <c r="A105" s="47" t="s">
        <v>244</v>
      </c>
      <c r="B105" s="7"/>
      <c r="C105" s="7"/>
      <c r="D105" s="7"/>
      <c r="E105" s="7"/>
      <c r="F105" s="7"/>
      <c r="G105" s="7"/>
      <c r="H105" s="8"/>
    </row>
    <row r="106" ht="15.75" customHeight="1">
      <c r="A106" s="77" t="s">
        <v>274</v>
      </c>
      <c r="B106" s="49"/>
      <c r="C106" s="49"/>
      <c r="D106" s="49"/>
      <c r="E106" s="49"/>
      <c r="F106" s="49"/>
      <c r="G106" s="49"/>
      <c r="H106" s="50"/>
    </row>
    <row r="107" ht="15.75" customHeight="1">
      <c r="A107" s="83"/>
      <c r="H107" s="84"/>
    </row>
    <row r="108" ht="15.75" customHeight="1">
      <c r="A108" s="51"/>
      <c r="B108" s="52"/>
      <c r="C108" s="52"/>
      <c r="D108" s="52"/>
      <c r="E108" s="52"/>
      <c r="F108" s="52"/>
      <c r="G108" s="52"/>
      <c r="H108" s="53"/>
    </row>
    <row r="109" ht="15.75" customHeight="1">
      <c r="A109" s="47" t="s">
        <v>246</v>
      </c>
      <c r="B109" s="7"/>
      <c r="C109" s="7"/>
      <c r="D109" s="7"/>
      <c r="E109" s="7"/>
      <c r="F109" s="7"/>
      <c r="G109" s="7"/>
      <c r="H109" s="8"/>
    </row>
    <row r="110" ht="15.75" customHeight="1">
      <c r="A110" s="77" t="s">
        <v>295</v>
      </c>
      <c r="B110" s="49"/>
      <c r="C110" s="49"/>
      <c r="D110" s="49"/>
      <c r="E110" s="49"/>
      <c r="F110" s="49"/>
      <c r="G110" s="49"/>
      <c r="H110" s="50"/>
    </row>
    <row r="111" ht="15.75" customHeight="1">
      <c r="A111" s="83"/>
      <c r="H111" s="84"/>
    </row>
    <row r="112" ht="15.75" customHeight="1">
      <c r="A112" s="51"/>
      <c r="B112" s="52"/>
      <c r="C112" s="52"/>
      <c r="D112" s="52"/>
      <c r="E112" s="52"/>
      <c r="F112" s="52"/>
      <c r="G112" s="52"/>
      <c r="H112" s="53"/>
    </row>
    <row r="113" ht="15.75" customHeight="1"/>
    <row r="114" ht="15.75" customHeight="1">
      <c r="A114" s="61" t="s">
        <v>296</v>
      </c>
      <c r="E114" s="86" t="s">
        <v>160</v>
      </c>
      <c r="F114" s="63"/>
      <c r="G114" s="86" t="s">
        <v>241</v>
      </c>
      <c r="H114" s="63"/>
    </row>
    <row r="115" ht="15.75" customHeight="1">
      <c r="A115" s="87" t="s">
        <v>255</v>
      </c>
    </row>
    <row r="116" ht="15.75" customHeight="1">
      <c r="A116" s="76" t="s">
        <v>172</v>
      </c>
      <c r="B116" s="25" t="s">
        <v>81</v>
      </c>
      <c r="C116" s="7"/>
      <c r="D116" s="7"/>
      <c r="E116" s="7"/>
      <c r="F116" s="7"/>
      <c r="G116" s="7"/>
      <c r="H116" s="8"/>
    </row>
    <row r="117" ht="15.75" customHeight="1">
      <c r="A117" s="76" t="s">
        <v>172</v>
      </c>
      <c r="B117" s="25"/>
      <c r="C117" s="7"/>
      <c r="D117" s="7"/>
      <c r="E117" s="7"/>
      <c r="F117" s="7"/>
      <c r="G117" s="7"/>
      <c r="H117" s="8"/>
    </row>
    <row r="118" ht="15.75" customHeight="1">
      <c r="A118" s="76" t="s">
        <v>172</v>
      </c>
      <c r="B118" s="25"/>
      <c r="C118" s="7"/>
      <c r="D118" s="7"/>
      <c r="E118" s="7"/>
      <c r="F118" s="7"/>
      <c r="G118" s="7"/>
      <c r="H118" s="8"/>
    </row>
    <row r="119" ht="15.75" customHeight="1">
      <c r="A119" s="76" t="s">
        <v>242</v>
      </c>
      <c r="B119" s="25" t="s">
        <v>297</v>
      </c>
      <c r="C119" s="7"/>
      <c r="D119" s="7"/>
      <c r="E119" s="7"/>
      <c r="F119" s="7"/>
      <c r="G119" s="7"/>
      <c r="H119" s="8"/>
    </row>
    <row r="120" ht="15.75" customHeight="1">
      <c r="A120" s="47" t="s">
        <v>244</v>
      </c>
      <c r="B120" s="7"/>
      <c r="C120" s="7"/>
      <c r="D120" s="7"/>
      <c r="E120" s="7"/>
      <c r="F120" s="7"/>
      <c r="G120" s="7"/>
      <c r="H120" s="8"/>
    </row>
    <row r="121" ht="15.75" customHeight="1">
      <c r="A121" s="77" t="s">
        <v>274</v>
      </c>
      <c r="B121" s="49"/>
      <c r="C121" s="49"/>
      <c r="D121" s="49"/>
      <c r="E121" s="49"/>
      <c r="F121" s="49"/>
      <c r="G121" s="49"/>
      <c r="H121" s="50"/>
    </row>
    <row r="122" ht="15.75" customHeight="1">
      <c r="A122" s="83"/>
      <c r="H122" s="84"/>
    </row>
    <row r="123" ht="15.75" customHeight="1">
      <c r="A123" s="51"/>
      <c r="B123" s="52"/>
      <c r="C123" s="52"/>
      <c r="D123" s="52"/>
      <c r="E123" s="52"/>
      <c r="F123" s="52"/>
      <c r="G123" s="52"/>
      <c r="H123" s="53"/>
    </row>
    <row r="124" ht="15.75" customHeight="1">
      <c r="A124" s="47" t="s">
        <v>246</v>
      </c>
      <c r="B124" s="7"/>
      <c r="C124" s="7"/>
      <c r="D124" s="7"/>
      <c r="E124" s="7"/>
      <c r="F124" s="7"/>
      <c r="G124" s="7"/>
      <c r="H124" s="8"/>
    </row>
    <row r="125" ht="15.75" customHeight="1">
      <c r="A125" s="77" t="s">
        <v>298</v>
      </c>
      <c r="B125" s="49"/>
      <c r="C125" s="49"/>
      <c r="D125" s="49"/>
      <c r="E125" s="49"/>
      <c r="F125" s="49"/>
      <c r="G125" s="49"/>
      <c r="H125" s="50"/>
    </row>
    <row r="126" ht="15.75" customHeight="1">
      <c r="A126" s="83"/>
      <c r="H126" s="84"/>
    </row>
    <row r="127" ht="15.75" customHeight="1">
      <c r="A127" s="51"/>
      <c r="B127" s="52"/>
      <c r="C127" s="52"/>
      <c r="D127" s="52"/>
      <c r="E127" s="52"/>
      <c r="F127" s="52"/>
      <c r="G127" s="52"/>
      <c r="H127" s="53"/>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