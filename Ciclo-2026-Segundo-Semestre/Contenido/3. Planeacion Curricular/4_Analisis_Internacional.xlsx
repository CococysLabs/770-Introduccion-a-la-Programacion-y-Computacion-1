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Metadata" sheetId="3" r:id="rId6"/>
    <sheet state="visible" name="Analisis Tecnologico" sheetId="4" r:id="rId7"/>
  </sheets>
  <definedNames/>
  <calcPr/>
  <extLst>
    <ext uri="GoogleSheetsCustomDataVersion2">
      <go:sheetsCustomData xmlns:go="http://customooxmlschemas.google.com/" r:id="rId8" roundtripDataChecksum="i845WBrb0+pY7q7e9L7U+YX1pEGv4FdDXKTPwsR5pEs="/>
    </ext>
  </extLst>
</workbook>
</file>

<file path=xl/sharedStrings.xml><?xml version="1.0" encoding="utf-8"?>
<sst xmlns="http://schemas.openxmlformats.org/spreadsheetml/2006/main" count="537" uniqueCount="281">
  <si>
    <t>Identificación de referentes internacionales</t>
  </si>
  <si>
    <t>Nombre del Curso</t>
  </si>
  <si>
    <t>770 - Introducción a ala programación y computación 1</t>
  </si>
  <si>
    <t>Semestre que aplica</t>
  </si>
  <si>
    <t>Primer Semestre 2027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</si>
  <si>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</si>
  <si>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</si>
  <si>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</si>
  <si>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Stanford University</t>
  </si>
  <si>
    <t>Pais</t>
  </si>
  <si>
    <t>Estados Unidos</t>
  </si>
  <si>
    <t>CS106A - Programming Methodology</t>
  </si>
  <si>
    <t>Fuente de Información</t>
  </si>
  <si>
    <t>Curso introductorio de programación de Stanford, orientado a principios de ingeniería de software: diseño de programas, descomposición, encapsulamiento, abstracción y pruebas. Actualización importante: el curso migró de Java a Python 3 (entorno PyCharm) y conserva Karel the Robot como introducción. Contenido tomado de la edición Summer Quarter 2026. Fuentes: https://web.stanford.edu/class/archive/cs/cs106a/cs106a.1268/ | https://online.stanford.edu/courses/cs106a-programming-methodology</t>
  </si>
  <si>
    <t>No.</t>
  </si>
  <si>
    <t>Contenido de la Universidad Referente</t>
  </si>
  <si>
    <t>Resolución de problemas y descomposición con Karel the Robot (control de flujo inicial)</t>
  </si>
  <si>
    <t>Fundamentos de Python: variables, tipos de datos, expresiones y entrada/salida</t>
  </si>
  <si>
    <t>Funciones: parámetros, valores de retorno y alcance de variables</t>
  </si>
  <si>
    <t>Estructuras de control: condicionales y ciclos</t>
  </si>
  <si>
    <t>Cadenas de texto (Strings) y listas</t>
  </si>
  <si>
    <t>Gráficos, imágenes y listas bidimensionales (grids)</t>
  </si>
  <si>
    <t>Lectura de archivos y diccionarios (incluye diccionarios anidados)</t>
  </si>
  <si>
    <t>Clases y objetos: introducción a la programación orientada a objetos</t>
  </si>
  <si>
    <t>Tuplas, ordenamiento y búsqueda (aplicación: motores de búsqueda)</t>
  </si>
  <si>
    <t>Ética en la computación e introducción a Internet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</si>
  <si>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</si>
  <si>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</si>
  <si>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</si>
  <si>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ACM/IEEE-CS/AAAI CS2023 - Computer Science Curricula 2023</t>
  </si>
  <si>
    <t>Sección , Capitulo , etc,</t>
  </si>
  <si>
    <t>Knowledge Area: Software Development Fundamentals (SDF)</t>
  </si>
  <si>
    <t>Funte de Información</t>
  </si>
  <si>
    <t>Área de conocimiento que agrupa los conceptos y habilidades del proceso de desarrollo de software que deben dominarse al inicio de la carrera (típicamente el primer año): construcciones fundamentales de programación, estructuras de datos básicas, algoritmos fundamentales, prácticas de desarrollo y aspectos de sociedad y ética. Unidades: SDF-Fundamentals, SDF-ADT, SDF-Algorithms, SDF-Practices y SDF-SEP. Fuente: https://csed.acm.org/final-report/ | https://csed.acm.org/software-development-fundamentals/</t>
  </si>
  <si>
    <t>Contenido del Estandar</t>
  </si>
  <si>
    <t>Conceptos fundamentales: algoritmo, variables, tipos, expresiones y asignación</t>
  </si>
  <si>
    <t>Estructuras de control (condicionales e iterativas) y funciones con paso de parámetros</t>
  </si>
  <si>
    <t>Recursividad y pila de llamadas (call stack)</t>
  </si>
  <si>
    <t>Entrada/salida simple y persistencia de datos mediante archivos</t>
  </si>
  <si>
    <t>Modularidad y POO básica: descomposición, clases, objetos y encapsulamiento</t>
  </si>
  <si>
    <t>Tipos de datos estructurados: strings, arreglos, listas, diccionarios y conjuntos</t>
  </si>
  <si>
    <t>Algoritmos fundamentales: búsqueda, ordenamiento y noción de eficiencia</t>
  </si>
  <si>
    <t>Prácticas de desarrollo: pruebas, depuración, estilo, documentación y herramientas (IDE, control de versiones)</t>
  </si>
  <si>
    <t>Manejo de errores y excepciones para programas robustos</t>
  </si>
  <si>
    <t>Sociedad, ética y profesión: responsabilidad social y propiedad intelectual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</si>
  <si>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</si>
  <si>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</si>
  <si>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</si>
  <si>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</si>
  <si>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GitHub Copilot</t>
  </si>
  <si>
    <t>https://github.com/features/copilot</t>
  </si>
  <si>
    <t>Cursor (editor con IA)</t>
  </si>
  <si>
    <t>https://cursor.com/</t>
  </si>
  <si>
    <t>Java 25 (LTS)</t>
  </si>
  <si>
    <t>https://openjdk.org/projects/jdk/25/</t>
  </si>
  <si>
    <t>JavaFX (OpenJFX)</t>
  </si>
  <si>
    <t>https://openjfx.io/</t>
  </si>
  <si>
    <t>IntelliJ IDEA</t>
  </si>
  <si>
    <t>https://www.jetbrains.com/idea/</t>
  </si>
  <si>
    <t>Visual Studio Code</t>
  </si>
  <si>
    <t>https://code.visualstudio.com/</t>
  </si>
  <si>
    <t>JUnit</t>
  </si>
  <si>
    <t>https://junit.org/</t>
  </si>
  <si>
    <t>Gradle / Maven</t>
  </si>
  <si>
    <t>https://gradle.org/</t>
  </si>
  <si>
    <t>Docker</t>
  </si>
  <si>
    <t>https://www.docker.com/</t>
  </si>
  <si>
    <t>GitHub Codespaces</t>
  </si>
  <si>
    <t>https://github.com/features/codespaces</t>
  </si>
  <si>
    <t>Comparación con referentes internacionales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</si>
  <si>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</si>
  <si>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</si>
  <si>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Universidad: Stanford University (CS106A)</t>
  </si>
  <si>
    <t>Estándar: ACM/IEEE CS2023 (SDF)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</si>
  <si>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</si>
  <si>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</si>
  <si>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</si>
  <si>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</si>
  <si>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</si>
  <si>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</si>
  <si>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>Analiza Estructuras de datos complejas y algoritmos de ordenamiento Utilizando técnicas de análisis de complejidad temporal y Para optimizar el rendimiento y eficiencia de aplicaciones</t>
  </si>
  <si>
    <t>1. Introducción a la Programación</t>
  </si>
  <si>
    <t>Introducción a los fundamentos de Programación</t>
  </si>
  <si>
    <t>Algoritmos</t>
  </si>
  <si>
    <t>Diagramas de Flujo</t>
  </si>
  <si>
    <t>Pseudocódigo</t>
  </si>
  <si>
    <t>Colabora En equipos multidiciplinarios de desarrollo de software Aplicando metodologías ágiles, herramientas de gestión y comunicación efectiva Adaptando el nivel de detalle según el contexto y audiencia objetivo</t>
  </si>
  <si>
    <t>2. Introducción al versionamiento</t>
  </si>
  <si>
    <t>Introducción al manejo de control de versiones</t>
  </si>
  <si>
    <t>Introducción a versionamiento</t>
  </si>
  <si>
    <t>Herramientas de control de versiones</t>
  </si>
  <si>
    <t>Tareas básicas de Git</t>
  </si>
  <si>
    <t>Colaboración en repositorios remotos</t>
  </si>
  <si>
    <t>Comunica Soluciones técnicas complejas a audiencias diversas Utilizando documentación técnica, presentaciones y demostraciones interactivas Adaptando el nivel de detalle según el contexto y audiencia objetivo</t>
  </si>
  <si>
    <t>3. Introducción a Java</t>
  </si>
  <si>
    <t>Introducción a Java - Parte 1</t>
  </si>
  <si>
    <t>¿Qué es Java?</t>
  </si>
  <si>
    <t>Introducción a Java - Parte 2</t>
  </si>
  <si>
    <t>Versiones y ambientes de java (JDK, JRE, JVM)</t>
  </si>
  <si>
    <t>Operadores aritméticos, relacionales y lógicos</t>
  </si>
  <si>
    <t>Introducción a Java - Parte 3</t>
  </si>
  <si>
    <t>Características de Java</t>
  </si>
  <si>
    <t>Input y output</t>
  </si>
  <si>
    <t>Introducción a Java - Parte 4</t>
  </si>
  <si>
    <t>Comentarios de una línea y multilínea</t>
  </si>
  <si>
    <t>Estructuras de control (if, else if, else y switch)</t>
  </si>
  <si>
    <t>Introducción a Java - Parte 5</t>
  </si>
  <si>
    <t>Variables</t>
  </si>
  <si>
    <t>Ciclos (for, while, do-while)</t>
  </si>
  <si>
    <t>Introducción a Java - Parte 6</t>
  </si>
  <si>
    <t>Tipos primitivos y no primitivos</t>
  </si>
  <si>
    <t>Evalua Arquitecturas de software y calidad de código Empleando métricas de software, patrones de diseño y técnicas de testing Para garantizar mantenibilidad, escalabilidad y robustez del sistema</t>
  </si>
  <si>
    <t>Try-catch-finally</t>
  </si>
  <si>
    <t>Introducción a Java - Parte 7</t>
  </si>
  <si>
    <t>Casteos implícitos y explícitos</t>
  </si>
  <si>
    <t>Procedimientos y funciones</t>
  </si>
  <si>
    <t>Introducción a Java - Parte 8</t>
  </si>
  <si>
    <t>Debugging (Breakpoint [Inline, function], start, pause, continue, stop)</t>
  </si>
  <si>
    <t>4. Manejo de Memoria</t>
  </si>
  <si>
    <t>Manejo de memoria</t>
  </si>
  <si>
    <t>Arreglos y Matrices</t>
  </si>
  <si>
    <t>Listas Dinámicas</t>
  </si>
  <si>
    <t>Métodos de Ordenamiento</t>
  </si>
  <si>
    <t>5. Recursividad y Archivos</t>
  </si>
  <si>
    <t>Recursividad y Archivos de texto plano</t>
  </si>
  <si>
    <t>Pila de ejecución (Call Stack)</t>
  </si>
  <si>
    <t>Recursividad</t>
  </si>
  <si>
    <t>Implementa Sistemas de software con persistencia de datos Utilizando bases de datos relacionales, archivos estructurados y APIs Conforme a especificaciones de integridad, consistencia y seguridad</t>
  </si>
  <si>
    <t>Manejo de archivos de texto plano</t>
  </si>
  <si>
    <t>6. Introducción a POO</t>
  </si>
  <si>
    <t>Conceptos y Pilares de POO</t>
  </si>
  <si>
    <t>Concepto de abstracción y clasificación</t>
  </si>
  <si>
    <t>Clases y objetos</t>
  </si>
  <si>
    <t>Mensajes y métodos</t>
  </si>
  <si>
    <t>Pilares de POO: Abstracción, Encapsulamiento, Polimorfismo, Herencia</t>
  </si>
  <si>
    <t>Los miembros de una clase</t>
  </si>
  <si>
    <t>Atributos y métodos (operaciones)</t>
  </si>
  <si>
    <t>Constructores y Destructores</t>
  </si>
  <si>
    <t>Modificadores de visibilidad: Privado, Público, Protegido</t>
  </si>
  <si>
    <t>Diseña Interfaces gráficas de usuario intuitivas y funcionales Aplicando frameworks de desarrollo GUI, principios UX/UI y manejo de eventos Considerando usabilidad, accesibilidad y experiencia del usuario final</t>
  </si>
  <si>
    <t>7. Introducción a Interfaces Graficas</t>
  </si>
  <si>
    <t>Introducción a Swing y Awt</t>
  </si>
  <si>
    <t>Elementos basicos de swing</t>
  </si>
  <si>
    <t>8. Patrones de diseño</t>
  </si>
  <si>
    <t>Patron de diseño: MVC</t>
  </si>
  <si>
    <t>Definición y sus componentes</t>
  </si>
  <si>
    <t>Modelo</t>
  </si>
  <si>
    <t>Vista</t>
  </si>
  <si>
    <t>Controlador</t>
  </si>
  <si>
    <t>7. POO Avanzado</t>
  </si>
  <si>
    <t>Conceptos Avanzados de POO</t>
  </si>
  <si>
    <t>Construcciones abstractas: Clase abstracta y Interface</t>
  </si>
  <si>
    <t>Miembros estáticos (static) vs. miembros de instancia</t>
  </si>
  <si>
    <t>Referencia this</t>
  </si>
  <si>
    <t>Serialización de objetos en archivos</t>
  </si>
  <si>
    <t>9. Hilos</t>
  </si>
  <si>
    <t>Manejo de Hilos en Java</t>
  </si>
  <si>
    <t>Definición de Hilos</t>
  </si>
  <si>
    <t>Ciclo de vida de un hilo</t>
  </si>
  <si>
    <t>Creación de hilos</t>
  </si>
  <si>
    <t>Multihilos</t>
  </si>
  <si>
    <t>10. Fundamentos de GUI</t>
  </si>
  <si>
    <t>Fundamentos de GUI, AWT y SWING</t>
  </si>
  <si>
    <t>Concepto de GUI (Interfaz gráfica de usuario).</t>
  </si>
  <si>
    <t>¿Que es AWT?</t>
  </si>
  <si>
    <t>Componentes basicos de AWT</t>
  </si>
  <si>
    <t>Gestores de diseño (Layout Managers) en AWT</t>
  </si>
  <si>
    <t>Manejo de eventos en AWT</t>
  </si>
  <si>
    <t>¿Que es SWING?</t>
  </si>
  <si>
    <t>Componentes basicos de SWING</t>
  </si>
  <si>
    <t>11. Swing Avanzado y UML</t>
  </si>
  <si>
    <t>SWING avanzado, UML y diagramas de clases</t>
  </si>
  <si>
    <t>Gestores de diseño (Layout Managers) en SWING</t>
  </si>
  <si>
    <t>Manejo de eventos en SWING</t>
  </si>
  <si>
    <t>Diferencias entre AWT y SWING</t>
  </si>
  <si>
    <t>Drag and Drop</t>
  </si>
  <si>
    <t>¿Que es UML?</t>
  </si>
  <si>
    <t>Diagrama de clases</t>
  </si>
  <si>
    <t>Notaciones del diagrama de clases (clases, visibilidad, relaciones)</t>
  </si>
  <si>
    <t>Reflexiona Críticamente sobre el impacto ético y social de las soluciones tecnológicas Considerando principios de responsabilidad social, privacidad y sostenibilidad Para tomar decisiones técnicas éticamente informadas y responsables</t>
  </si>
  <si>
    <t>12. Cloud computing</t>
  </si>
  <si>
    <t>Cloud Computing</t>
  </si>
  <si>
    <t>Ventajas y Desventajas</t>
  </si>
  <si>
    <t>Tipos de Nube</t>
  </si>
  <si>
    <t>Publica, privada, hibrida</t>
  </si>
  <si>
    <t>Modelos en la Nube</t>
  </si>
  <si>
    <t>SaaS, PaaS, IaaS</t>
  </si>
  <si>
    <t>Servicios en la nube</t>
  </si>
  <si>
    <t>Proveedores de Nube</t>
  </si>
  <si>
    <t>Codigo-Nombre</t>
  </si>
  <si>
    <t>2S2026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</si>
  <si>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</si>
  <si>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</si>
  <si>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</si>
  <si>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</si>
  <si>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</si>
  <si>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</si>
  <si>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</si>
  <si>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</si>
  <si>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</si>
  <si>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</si>
  <si>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</si>
  <si>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</si>
  <si>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</si>
  <si>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</si>
  <si>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</si>
  <si>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</si>
  <si>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</si>
  <si>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</si>
  <si>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</si>
  <si>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</si>
  <si>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</si>
  <si>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</si>
  <si>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</si>
  <si>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</si>
  <si>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</si>
  <si>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</si>
  <si>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</si>
  <si>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</si>
  <si>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</si>
  <si>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</si>
  <si>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</si>
  <si>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</si>
  <si>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</si>
  <si>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</si>
  <si>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</si>
  <si>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</si>
  <si>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</si>
  <si>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</si>
  <si>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</si>
  <si>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</si>
  <si>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</si>
  <si>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</si>
  <si>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</si>
  <si>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</si>
  <si>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</si>
  <si>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</si>
  <si>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</si>
  <si>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</si>
  <si>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</si>
  <si>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</si>
  <si>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</si>
  <si>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</si>
  <si>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</si>
  <si>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</si>
  <si>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</si>
  <si>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</si>
  <si>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</si>
  <si>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</si>
  <si>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</si>
  <si>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</si>
  <si>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</si>
  <si>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</si>
  <si>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</si>
  <si>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</si>
  <si>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</si>
  <si>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</si>
  <si>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</si>
  <si>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</si>
  <si>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</si>
  <si>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</si>
  <si>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</si>
  <si>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</si>
  <si>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</si>
  <si>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</si>
  <si>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</si>
  <si>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</si>
  <si>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</si>
  <si>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768 - Algoritmos</t>
  </si>
  <si>
    <t>0089 - Comunicación Asertiva</t>
  </si>
  <si>
    <t>Tecnologias y/o Herramientas actuales en el laboratorio</t>
  </si>
  <si>
    <t>Tecnologias y/o herramientas en Tendencia</t>
  </si>
  <si>
    <t>Java (JDK) como lenguaje del laboratorio</t>
  </si>
  <si>
    <t>Interfaces gráficas con Swing y AWT</t>
  </si>
  <si>
    <t>Git y GitHub para versionamiento y entrega de proyectos</t>
  </si>
  <si>
    <t>IDE de escritorio para Java</t>
  </si>
  <si>
    <t>Depuración con breakpoints y pruebas manuales</t>
  </si>
  <si>
    <t>Proyectos compilados desde el IDE sin gestor de dependencias</t>
  </si>
  <si>
    <t>Cloud computing visto de forma teórica (SaaS, PaaS, IaaS)</t>
  </si>
  <si>
    <t>Uso de IA no integrado formalmente en el laboratorio</t>
  </si>
  <si>
    <t>Consulta con el catedratico de los hallazgos y si debes hacer algun cambio en tecnologias y/o herramientas para el proximo semestre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</si>
</sst>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sz val="12.0"/>
      <color rgb="FF999999"/>
      <name val="Arial"/>
    </font>
    <font>
      <u/>
      <sz val="12.0"/>
      <color rgb="FF1155CC"/>
      <name val="Arial"/>
    </font>
    <font>
      <sz val="12.0"/>
      <color rgb="FFB7B7B7"/>
      <name val="Arial"/>
    </font>
    <font>
      <sz val="11.0"/>
      <color theme="1"/>
      <name val="Arial"/>
    </font>
    <font>
      <sz val="11.0"/>
      <color rgb="FFFFFFFF"/>
      <name val="Arial"/>
    </font>
    <font>
      <sz val="11.0"/>
      <color rgb="FFCCCCCC"/>
      <name val="Arial"/>
    </font>
    <font>
      <sz val="11.0"/>
      <color rgb="FFB7B7B7"/>
      <name val="Arial"/>
    </font>
    <font>
      <sz val="10.0"/>
      <color rgb="FF000000"/>
      <name val="Arial"/>
    </font>
    <font>
      <b/>
      <sz val="11.0"/>
      <color rgb="FF4A86E8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1" fillId="2" fontId="3" numFmtId="0" xfId="0" applyAlignment="1" applyBorder="1" applyFill="1" applyFont="1">
      <alignment shrinkToFit="0" vertical="bottom" wrapText="1"/>
    </xf>
    <xf borderId="2" fillId="3" fontId="1" numFmtId="0" xfId="0" applyAlignment="1" applyBorder="1" applyFill="1" applyFont="1">
      <alignment shrinkToFit="0" vertical="bottom" wrapText="1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ill="1" applyFont="1">
      <alignment shrinkToFit="0" vertical="bottom" wrapText="1"/>
    </xf>
    <xf borderId="2" fillId="0" fontId="7" numFmtId="0" xfId="0" applyAlignment="1" applyBorder="1" applyFont="1">
      <alignment shrinkToFit="0" vertical="bottom" wrapText="1"/>
    </xf>
    <xf borderId="5" fillId="2" fontId="3" numFmtId="0" xfId="0" applyAlignment="1" applyBorder="1" applyFill="1" applyFont="1">
      <alignment shrinkToFit="0" vertical="bottom" wrapText="1"/>
    </xf>
    <xf borderId="2" fillId="2" fontId="3" numFmtId="0" xfId="0" applyAlignment="1" applyBorder="1" applyFill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0"/>
    </xf>
    <xf borderId="6" fillId="0" fontId="2" numFmtId="0" xfId="0" applyAlignment="1" applyBorder="1" applyFont="1">
      <alignment horizontal="center" shrinkToFit="0" vertical="bottom" wrapText="1"/>
    </xf>
    <xf borderId="7" fillId="0" fontId="4" numFmtId="0" xfId="0" applyBorder="1" applyFont="1"/>
    <xf borderId="8" fillId="0" fontId="4" numFmtId="0" xfId="0" applyBorder="1" applyFont="1"/>
    <xf borderId="0" fillId="0" fontId="10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1"/>
    </xf>
    <xf borderId="2" fillId="0" fontId="9" numFmtId="0" xfId="0" applyAlignment="1" applyBorder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0" fontId="12" numFmtId="0" xfId="0" applyAlignment="1" applyFont="1">
      <alignment shrinkToFit="0" vertical="bottom" wrapText="1"/>
    </xf>
    <xf borderId="1" fillId="4" fontId="9" numFmtId="0" xfId="0" applyAlignment="1" applyBorder="1" applyFill="1" applyFont="1">
      <alignment horizontal="center" shrinkToFit="0" vertical="bottom" wrapText="1"/>
    </xf>
    <xf borderId="2" fillId="2" fontId="9" numFmtId="0" xfId="0" applyAlignment="1" applyBorder="1" applyFill="1" applyFont="1">
      <alignment shrinkToFit="0" vertical="bottom" wrapText="1"/>
    </xf>
    <xf borderId="1" fillId="2" fontId="9" numFmtId="0" xfId="0" applyAlignment="1" applyBorder="1" applyFill="1" applyFont="1">
      <alignment shrinkToFit="0" vertical="bottom" wrapText="1"/>
    </xf>
    <xf borderId="9" fillId="5" fontId="3" numFmtId="0" xfId="0" applyAlignment="1" applyBorder="1" applyFill="1" applyFont="1">
      <alignment horizontal="center" shrinkToFit="0" vertical="bottom" wrapText="0"/>
    </xf>
    <xf borderId="2" fillId="0" fontId="9" numFmtId="0" xfId="0" applyAlignment="1" applyBorder="1" applyFont="1">
      <alignment shrinkToFit="0" vertical="bottom" wrapText="0"/>
    </xf>
    <xf borderId="10" fillId="6" fontId="9" numFmtId="0" xfId="0" applyAlignment="1" applyBorder="1" applyFill="1" applyFont="1">
      <alignment shrinkToFit="0" vertical="bottom" wrapText="1"/>
    </xf>
    <xf borderId="11" fillId="0" fontId="4" numFmtId="0" xfId="0" applyBorder="1" applyFont="1"/>
    <xf borderId="12" fillId="0" fontId="4" numFmtId="0" xfId="0" applyBorder="1" applyFont="1"/>
    <xf borderId="10" fillId="6" fontId="9" numFmtId="0" xfId="0" applyAlignment="1" applyBorder="1" applyFill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38100</xdr:rowOff>
    </xdr:from>
    <xdr:ext cx="847725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933450" cy="1200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7725" cy="904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14.25"/>
  </cols>
  <sheetData>
    <row r="1" ht="15.75" customHeight="1">
      <c r="A1" s="1"/>
      <c r="B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4.5" customHeight="1">
      <c r="A3" s="1"/>
      <c r="B3" s="3" t="s">
        <v>1</v>
      </c>
      <c r="C3" s="4" t="s">
        <v>2</v>
      </c>
      <c r="D3" s="5"/>
      <c r="E3" s="5"/>
      <c r="F3" s="5"/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3.75" customHeight="1">
      <c r="A4" s="1"/>
      <c r="B4" s="3" t="s">
        <v>3</v>
      </c>
      <c r="C4" s="7" t="s">
        <v>4</v>
      </c>
      <c r="D4" s="5"/>
      <c r="E4" s="5"/>
      <c r="F4" s="5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8" t="s">
        <v>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64.5" customHeight="1">
      <c r="A7" s="1"/>
      <c r="B7" s="9" t="s">
        <v>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1"/>
      <c r="B9" s="10" t="s">
        <v>7</v>
      </c>
      <c r="C9" s="7" t="s">
        <v>8</v>
      </c>
      <c r="D9" s="5"/>
      <c r="E9" s="5"/>
      <c r="F9" s="5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0" t="s">
        <v>9</v>
      </c>
      <c r="C10" s="7" t="s">
        <v>10</v>
      </c>
      <c r="D10" s="5"/>
      <c r="E10" s="5"/>
      <c r="F10" s="5"/>
      <c r="G10" s="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1.5" customHeight="1">
      <c r="A11" s="1"/>
      <c r="B11" s="10" t="s">
        <v>1</v>
      </c>
      <c r="C11" s="7" t="s">
        <v>11</v>
      </c>
      <c r="D11" s="5"/>
      <c r="E11" s="5"/>
      <c r="F11" s="5"/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8.5" customHeight="1">
      <c r="A12" s="1"/>
      <c r="B12" s="10" t="s">
        <v>12</v>
      </c>
      <c r="C12" s="11" t="s">
        <v>13</v>
      </c>
      <c r="D12" s="5"/>
      <c r="E12" s="5"/>
      <c r="F12" s="5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 t="s">
        <v>14</v>
      </c>
      <c r="C14" s="13" t="s">
        <v>15</v>
      </c>
      <c r="D14" s="5"/>
      <c r="E14" s="5"/>
      <c r="F14" s="5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57.0" customHeight="1">
      <c r="A15" s="1"/>
      <c r="B15" s="14">
        <v>1.0</v>
      </c>
      <c r="C15" s="7" t="s">
        <v>16</v>
      </c>
      <c r="D15" s="5"/>
      <c r="E15" s="5"/>
      <c r="F15" s="5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4">
        <v>2.0</v>
      </c>
      <c r="C16" s="7" t="s">
        <v>17</v>
      </c>
      <c r="D16" s="5"/>
      <c r="E16" s="5"/>
      <c r="F16" s="5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4">
        <v>3.0</v>
      </c>
      <c r="C17" s="7" t="s">
        <v>18</v>
      </c>
      <c r="D17" s="5"/>
      <c r="E17" s="5"/>
      <c r="F17" s="5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4">
        <v>4.0</v>
      </c>
      <c r="C18" s="7" t="s">
        <v>19</v>
      </c>
      <c r="D18" s="5"/>
      <c r="E18" s="5"/>
      <c r="F18" s="5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4">
        <v>5.0</v>
      </c>
      <c r="C19" s="7" t="s">
        <v>20</v>
      </c>
      <c r="D19" s="5"/>
      <c r="E19" s="5"/>
      <c r="F19" s="5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4">
        <v>6.0</v>
      </c>
      <c r="C20" s="7" t="s">
        <v>21</v>
      </c>
      <c r="D20" s="5"/>
      <c r="E20" s="5"/>
      <c r="F20" s="5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4">
        <v>7.0</v>
      </c>
      <c r="C21" s="7" t="s">
        <v>22</v>
      </c>
      <c r="D21" s="5"/>
      <c r="E21" s="5"/>
      <c r="F21" s="5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4">
        <v>8.0</v>
      </c>
      <c r="C22" s="7" t="s">
        <v>23</v>
      </c>
      <c r="D22" s="5"/>
      <c r="E22" s="5"/>
      <c r="F22" s="5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4">
        <v>9.0</v>
      </c>
      <c r="C23" s="7" t="s">
        <v>24</v>
      </c>
      <c r="D23" s="5"/>
      <c r="E23" s="5"/>
      <c r="F23" s="5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4">
        <v>10.0</v>
      </c>
      <c r="C24" s="7" t="s">
        <v>25</v>
      </c>
      <c r="D24" s="5"/>
      <c r="E24" s="5"/>
      <c r="F24" s="5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" t="s">
        <v>26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9" t="s">
        <v>27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2.25" customHeight="1">
      <c r="A30" s="1"/>
      <c r="B30" s="10" t="s">
        <v>28</v>
      </c>
      <c r="C30" s="7" t="s">
        <v>29</v>
      </c>
      <c r="D30" s="5"/>
      <c r="E30" s="5"/>
      <c r="F30" s="5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8.75" customHeight="1">
      <c r="A31" s="1"/>
      <c r="B31" s="10" t="s">
        <v>30</v>
      </c>
      <c r="C31" s="7" t="s">
        <v>31</v>
      </c>
      <c r="D31" s="5"/>
      <c r="E31" s="5"/>
      <c r="F31" s="5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3.75" customHeight="1">
      <c r="A32" s="1"/>
      <c r="B32" s="10" t="s">
        <v>32</v>
      </c>
      <c r="C32" s="11" t="s">
        <v>33</v>
      </c>
      <c r="D32" s="5"/>
      <c r="E32" s="5"/>
      <c r="F32" s="5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2" t="s">
        <v>14</v>
      </c>
      <c r="C34" s="13" t="s">
        <v>34</v>
      </c>
      <c r="D34" s="5"/>
      <c r="E34" s="5"/>
      <c r="F34" s="5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4">
        <v>1.0</v>
      </c>
      <c r="C35" s="7" t="s">
        <v>35</v>
      </c>
      <c r="D35" s="5"/>
      <c r="E35" s="5"/>
      <c r="F35" s="5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4">
        <v>2.0</v>
      </c>
      <c r="C36" s="7" t="s">
        <v>36</v>
      </c>
      <c r="D36" s="5"/>
      <c r="E36" s="5"/>
      <c r="F36" s="5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4">
        <v>3.0</v>
      </c>
      <c r="C37" s="7" t="s">
        <v>37</v>
      </c>
      <c r="D37" s="5"/>
      <c r="E37" s="5"/>
      <c r="F37" s="5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4">
        <v>4.0</v>
      </c>
      <c r="C38" s="7" t="s">
        <v>38</v>
      </c>
      <c r="D38" s="5"/>
      <c r="E38" s="5"/>
      <c r="F38" s="5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4">
        <v>5.0</v>
      </c>
      <c r="C39" s="7" t="s">
        <v>39</v>
      </c>
      <c r="D39" s="5"/>
      <c r="E39" s="5"/>
      <c r="F39" s="5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4">
        <v>6.0</v>
      </c>
      <c r="C40" s="7" t="s">
        <v>40</v>
      </c>
      <c r="D40" s="5"/>
      <c r="E40" s="5"/>
      <c r="F40" s="5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4">
        <v>7.0</v>
      </c>
      <c r="C41" s="7" t="s">
        <v>41</v>
      </c>
      <c r="D41" s="5"/>
      <c r="E41" s="5"/>
      <c r="F41" s="5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4">
        <v>8.0</v>
      </c>
      <c r="C42" s="7" t="s">
        <v>42</v>
      </c>
      <c r="D42" s="5"/>
      <c r="E42" s="5"/>
      <c r="F42" s="5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4">
        <v>9.0</v>
      </c>
      <c r="C43" s="7" t="s">
        <v>43</v>
      </c>
      <c r="D43" s="5"/>
      <c r="E43" s="5"/>
      <c r="F43" s="5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4">
        <v>10.0</v>
      </c>
      <c r="C44" s="7" t="s">
        <v>44</v>
      </c>
      <c r="D44" s="5"/>
      <c r="E44" s="5"/>
      <c r="F44" s="5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8" t="s">
        <v>45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15" t="s">
        <v>46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40.5" customHeight="1">
      <c r="A49" s="1"/>
      <c r="B49" s="12" t="s">
        <v>14</v>
      </c>
      <c r="C49" s="13" t="s">
        <v>47</v>
      </c>
      <c r="D49" s="5"/>
      <c r="E49" s="5"/>
      <c r="F49" s="5"/>
      <c r="G49" s="6"/>
      <c r="H49" s="3" t="s">
        <v>48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4">
        <v>1.0</v>
      </c>
      <c r="C50" s="7" t="s">
        <v>49</v>
      </c>
      <c r="D50" s="5"/>
      <c r="E50" s="5"/>
      <c r="F50" s="5"/>
      <c r="G50" s="6"/>
      <c r="H50" s="14" t="s">
        <v>50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4">
        <v>2.0</v>
      </c>
      <c r="C51" s="7" t="s">
        <v>51</v>
      </c>
      <c r="D51" s="5"/>
      <c r="E51" s="5"/>
      <c r="F51" s="5"/>
      <c r="G51" s="6"/>
      <c r="H51" s="14" t="s">
        <v>52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4">
        <v>3.0</v>
      </c>
      <c r="C52" s="7" t="s">
        <v>53</v>
      </c>
      <c r="D52" s="5"/>
      <c r="E52" s="5"/>
      <c r="F52" s="5"/>
      <c r="G52" s="6"/>
      <c r="H52" s="14" t="s">
        <v>54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4">
        <v>4.0</v>
      </c>
      <c r="C53" s="7" t="s">
        <v>55</v>
      </c>
      <c r="D53" s="5"/>
      <c r="E53" s="5"/>
      <c r="F53" s="5"/>
      <c r="G53" s="6"/>
      <c r="H53" s="14" t="s">
        <v>56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4">
        <v>5.0</v>
      </c>
      <c r="C54" s="7" t="s">
        <v>57</v>
      </c>
      <c r="D54" s="5"/>
      <c r="E54" s="5"/>
      <c r="F54" s="5"/>
      <c r="G54" s="6"/>
      <c r="H54" s="14" t="s">
        <v>58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4">
        <v>6.0</v>
      </c>
      <c r="C55" s="7" t="s">
        <v>59</v>
      </c>
      <c r="D55" s="5"/>
      <c r="E55" s="5"/>
      <c r="F55" s="5"/>
      <c r="G55" s="6"/>
      <c r="H55" s="14" t="s">
        <v>60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4">
        <v>7.0</v>
      </c>
      <c r="C56" s="7" t="s">
        <v>61</v>
      </c>
      <c r="D56" s="5"/>
      <c r="E56" s="5"/>
      <c r="F56" s="5"/>
      <c r="G56" s="6"/>
      <c r="H56" s="14" t="s">
        <v>62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4">
        <v>8.0</v>
      </c>
      <c r="C57" s="7" t="s">
        <v>63</v>
      </c>
      <c r="D57" s="5"/>
      <c r="E57" s="5"/>
      <c r="F57" s="5"/>
      <c r="G57" s="6"/>
      <c r="H57" s="14" t="s">
        <v>64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4">
        <v>9.0</v>
      </c>
      <c r="C58" s="7" t="s">
        <v>65</v>
      </c>
      <c r="D58" s="5"/>
      <c r="E58" s="5"/>
      <c r="F58" s="5"/>
      <c r="G58" s="6"/>
      <c r="H58" s="14" t="s">
        <v>66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4">
        <v>10.0</v>
      </c>
      <c r="C59" s="7" t="s">
        <v>67</v>
      </c>
      <c r="D59" s="5"/>
      <c r="E59" s="5"/>
      <c r="F59" s="5"/>
      <c r="G59" s="6"/>
      <c r="H59" s="14" t="s">
        <v>68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B1:G1"/>
    <mergeCell ref="C3:G3"/>
    <mergeCell ref="C4:G4"/>
    <mergeCell ref="B6:G6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7:G27"/>
    <mergeCell ref="B28:G29"/>
    <mergeCell ref="C30:G30"/>
    <mergeCell ref="C31:G31"/>
    <mergeCell ref="C32:G32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53:G53"/>
    <mergeCell ref="C54:G54"/>
    <mergeCell ref="C55:G55"/>
    <mergeCell ref="C56:G56"/>
    <mergeCell ref="C57:G57"/>
    <mergeCell ref="C58:G58"/>
    <mergeCell ref="C59:G59"/>
    <mergeCell ref="C44:G44"/>
    <mergeCell ref="B47:G47"/>
    <mergeCell ref="B48:G48"/>
    <mergeCell ref="C49:G49"/>
    <mergeCell ref="C50:G50"/>
    <mergeCell ref="C51:G51"/>
    <mergeCell ref="C52:G52"/>
  </mergeCells>
  <dataValidations>
    <dataValidation type="list" allowBlank="1" showErrorMessage="1" sqref="C3">
      <formula1>Metadata!$A$2:$A$81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8.75"/>
    <col customWidth="1" min="3" max="3" width="41.63"/>
    <col customWidth="1" min="4" max="5" width="12.5"/>
    <col customWidth="1" min="6" max="6" width="25.13"/>
    <col customWidth="1" min="7" max="7" width="24.25"/>
  </cols>
  <sheetData>
    <row r="1" ht="15.0" customHeight="1">
      <c r="A1" s="16"/>
      <c r="B1" s="17" t="s">
        <v>69</v>
      </c>
      <c r="C1" s="18"/>
      <c r="D1" s="18"/>
      <c r="E1" s="18"/>
      <c r="F1" s="18"/>
      <c r="G1" s="19"/>
    </row>
    <row r="2">
      <c r="A2" s="20" t="str">
        <f>#REF!&amp;" - "&amp;C3</f>
        <v>#REF!</v>
      </c>
      <c r="B2" s="21"/>
      <c r="C2" s="21"/>
      <c r="D2" s="21"/>
      <c r="E2" s="21"/>
      <c r="F2" s="21"/>
      <c r="G2" s="21"/>
    </row>
    <row r="3">
      <c r="A3" s="16"/>
      <c r="B3" s="3" t="s">
        <v>1</v>
      </c>
      <c r="C3" s="22" t="str">
        <f>Refentes!C3</f>
        <v>770 - Introducción a ala programación y computación 1</v>
      </c>
      <c r="D3" s="5"/>
      <c r="E3" s="5"/>
      <c r="F3" s="5"/>
      <c r="G3" s="6"/>
    </row>
    <row r="4">
      <c r="A4" s="16"/>
      <c r="B4" s="3" t="s">
        <v>3</v>
      </c>
      <c r="C4" s="22" t="str">
        <f>Refentes!C4</f>
        <v>Primer Semestre 2027</v>
      </c>
      <c r="D4" s="5"/>
      <c r="E4" s="5"/>
      <c r="F4" s="5"/>
      <c r="G4" s="6"/>
    </row>
    <row r="5" ht="15.0" customHeight="1">
      <c r="A5" s="16"/>
      <c r="B5" s="23" t="s">
        <v>70</v>
      </c>
    </row>
    <row r="6" ht="15.0" customHeight="1">
      <c r="A6" s="16"/>
      <c r="B6" s="24" t="s">
        <v>71</v>
      </c>
    </row>
    <row r="7">
      <c r="A7" s="16"/>
      <c r="B7" s="21"/>
      <c r="C7" s="21"/>
      <c r="D7" s="21"/>
      <c r="E7" s="21"/>
      <c r="F7" s="21"/>
      <c r="G7" s="21"/>
    </row>
    <row r="8">
      <c r="A8" s="16"/>
      <c r="B8" s="21"/>
      <c r="C8" s="21"/>
      <c r="D8" s="21"/>
      <c r="E8" s="21"/>
      <c r="F8" s="25" t="s">
        <v>72</v>
      </c>
      <c r="G8" s="25" t="s">
        <v>73</v>
      </c>
    </row>
    <row r="9" ht="39.0" customHeight="1">
      <c r="A9" s="16"/>
      <c r="B9" s="26" t="s">
        <v>74</v>
      </c>
      <c r="C9" s="5"/>
      <c r="D9" s="5"/>
      <c r="E9" s="6"/>
      <c r="F9" s="27" t="str">
        <f>Refentes!C9</f>
        <v>Stanford University</v>
      </c>
      <c r="G9" s="27" t="str">
        <f>Refentes!C30</f>
        <v>ACM/IEEE-CS/AAAI CS2023 - Computer Science Curricula 2023</v>
      </c>
    </row>
    <row r="10">
      <c r="A10" s="16"/>
      <c r="B10" s="27" t="s">
        <v>75</v>
      </c>
      <c r="C10" s="27" t="s">
        <v>76</v>
      </c>
      <c r="D10" s="27" t="s">
        <v>77</v>
      </c>
      <c r="E10" s="27" t="s">
        <v>78</v>
      </c>
      <c r="F10" s="27" t="s">
        <v>79</v>
      </c>
      <c r="G10" s="27" t="s">
        <v>79</v>
      </c>
    </row>
    <row r="11" ht="75.0" customHeight="1">
      <c r="B11" s="21" t="s">
        <v>80</v>
      </c>
      <c r="C11" s="21" t="s">
        <v>81</v>
      </c>
      <c r="D11" s="21" t="s">
        <v>82</v>
      </c>
      <c r="E11" s="21" t="s">
        <v>83</v>
      </c>
      <c r="F11" s="21" t="s">
        <v>16</v>
      </c>
      <c r="G11" s="21" t="s">
        <v>35</v>
      </c>
    </row>
    <row r="12">
      <c r="B12" s="21" t="s">
        <v>80</v>
      </c>
      <c r="C12" s="21" t="s">
        <v>81</v>
      </c>
      <c r="D12" s="21" t="s">
        <v>82</v>
      </c>
      <c r="E12" s="21" t="s">
        <v>84</v>
      </c>
      <c r="F12" s="21" t="s">
        <v>16</v>
      </c>
      <c r="G12" s="21" t="s">
        <v>35</v>
      </c>
    </row>
    <row r="13">
      <c r="B13" s="21" t="s">
        <v>80</v>
      </c>
      <c r="C13" s="21" t="s">
        <v>81</v>
      </c>
      <c r="D13" s="21" t="s">
        <v>82</v>
      </c>
      <c r="E13" s="21" t="s">
        <v>85</v>
      </c>
      <c r="F13" s="21" t="s">
        <v>16</v>
      </c>
      <c r="G13" s="21" t="s">
        <v>35</v>
      </c>
    </row>
    <row r="14">
      <c r="B14" s="21" t="s">
        <v>86</v>
      </c>
      <c r="C14" s="21" t="s">
        <v>87</v>
      </c>
      <c r="D14" s="21" t="s">
        <v>88</v>
      </c>
      <c r="E14" s="21" t="s">
        <v>89</v>
      </c>
      <c r="F14" s="21"/>
      <c r="G14" s="21" t="s">
        <v>42</v>
      </c>
    </row>
    <row r="15">
      <c r="B15" s="21" t="s">
        <v>86</v>
      </c>
      <c r="C15" s="21" t="s">
        <v>87</v>
      </c>
      <c r="D15" s="21" t="s">
        <v>88</v>
      </c>
      <c r="E15" s="21" t="s">
        <v>90</v>
      </c>
      <c r="F15" s="21"/>
      <c r="G15" s="21" t="s">
        <v>42</v>
      </c>
    </row>
    <row r="16">
      <c r="B16" s="21" t="s">
        <v>86</v>
      </c>
      <c r="C16" s="21" t="s">
        <v>87</v>
      </c>
      <c r="D16" s="21" t="s">
        <v>88</v>
      </c>
      <c r="E16" s="21" t="s">
        <v>91</v>
      </c>
      <c r="F16" s="21"/>
      <c r="G16" s="21" t="s">
        <v>42</v>
      </c>
    </row>
    <row r="17">
      <c r="B17" s="21" t="s">
        <v>86</v>
      </c>
      <c r="C17" s="21" t="s">
        <v>87</v>
      </c>
      <c r="D17" s="21" t="s">
        <v>88</v>
      </c>
      <c r="E17" s="21" t="s">
        <v>92</v>
      </c>
      <c r="F17" s="21"/>
      <c r="G17" s="21" t="s">
        <v>42</v>
      </c>
    </row>
    <row r="18">
      <c r="B18" s="21" t="s">
        <v>93</v>
      </c>
      <c r="C18" s="21" t="s">
        <v>94</v>
      </c>
      <c r="D18" s="21" t="s">
        <v>95</v>
      </c>
      <c r="E18" s="21" t="s">
        <v>96</v>
      </c>
      <c r="F18" s="21" t="s">
        <v>17</v>
      </c>
      <c r="G18" s="21" t="s">
        <v>35</v>
      </c>
    </row>
    <row r="19">
      <c r="B19" s="21" t="s">
        <v>93</v>
      </c>
      <c r="C19" s="21" t="s">
        <v>94</v>
      </c>
      <c r="D19" s="21" t="s">
        <v>97</v>
      </c>
      <c r="E19" s="21" t="s">
        <v>98</v>
      </c>
      <c r="F19" s="21"/>
      <c r="G19" s="21" t="s">
        <v>42</v>
      </c>
    </row>
    <row r="20">
      <c r="B20" s="21" t="s">
        <v>80</v>
      </c>
      <c r="C20" s="21" t="s">
        <v>94</v>
      </c>
      <c r="D20" s="21" t="s">
        <v>97</v>
      </c>
      <c r="E20" s="21" t="s">
        <v>99</v>
      </c>
      <c r="F20" s="21" t="s">
        <v>17</v>
      </c>
      <c r="G20" s="21" t="s">
        <v>35</v>
      </c>
    </row>
    <row r="21" ht="15.75" customHeight="1">
      <c r="B21" s="21" t="s">
        <v>93</v>
      </c>
      <c r="C21" s="21" t="s">
        <v>94</v>
      </c>
      <c r="D21" s="21" t="s">
        <v>100</v>
      </c>
      <c r="E21" s="21" t="s">
        <v>101</v>
      </c>
      <c r="F21" s="21" t="s">
        <v>17</v>
      </c>
      <c r="G21" s="21"/>
    </row>
    <row r="22" ht="15.75" customHeight="1">
      <c r="B22" s="21" t="s">
        <v>80</v>
      </c>
      <c r="C22" s="21" t="s">
        <v>94</v>
      </c>
      <c r="D22" s="21" t="s">
        <v>100</v>
      </c>
      <c r="E22" s="21" t="s">
        <v>102</v>
      </c>
      <c r="F22" s="21" t="s">
        <v>17</v>
      </c>
      <c r="G22" s="21" t="s">
        <v>38</v>
      </c>
    </row>
    <row r="23" ht="15.75" customHeight="1">
      <c r="B23" s="21" t="s">
        <v>93</v>
      </c>
      <c r="C23" s="21" t="s">
        <v>94</v>
      </c>
      <c r="D23" s="21" t="s">
        <v>103</v>
      </c>
      <c r="E23" s="21" t="s">
        <v>104</v>
      </c>
      <c r="F23" s="21"/>
      <c r="G23" s="21" t="s">
        <v>42</v>
      </c>
    </row>
    <row r="24" ht="15.75" customHeight="1">
      <c r="B24" s="21" t="s">
        <v>80</v>
      </c>
      <c r="C24" s="21" t="s">
        <v>94</v>
      </c>
      <c r="D24" s="21" t="s">
        <v>103</v>
      </c>
      <c r="E24" s="21" t="s">
        <v>105</v>
      </c>
      <c r="F24" s="21" t="s">
        <v>19</v>
      </c>
      <c r="G24" s="21" t="s">
        <v>36</v>
      </c>
    </row>
    <row r="25" ht="15.75" customHeight="1">
      <c r="B25" s="21" t="s">
        <v>80</v>
      </c>
      <c r="C25" s="21" t="s">
        <v>94</v>
      </c>
      <c r="D25" s="21" t="s">
        <v>106</v>
      </c>
      <c r="E25" s="21" t="s">
        <v>107</v>
      </c>
      <c r="F25" s="21" t="s">
        <v>17</v>
      </c>
      <c r="G25" s="21" t="s">
        <v>35</v>
      </c>
    </row>
    <row r="26" ht="15.75" customHeight="1">
      <c r="B26" s="21" t="s">
        <v>80</v>
      </c>
      <c r="C26" s="21" t="s">
        <v>94</v>
      </c>
      <c r="D26" s="21" t="s">
        <v>106</v>
      </c>
      <c r="E26" s="21" t="s">
        <v>108</v>
      </c>
      <c r="F26" s="21" t="s">
        <v>19</v>
      </c>
      <c r="G26" s="21" t="s">
        <v>36</v>
      </c>
    </row>
    <row r="27" ht="15.75" customHeight="1">
      <c r="B27" s="21" t="s">
        <v>80</v>
      </c>
      <c r="C27" s="21" t="s">
        <v>94</v>
      </c>
      <c r="D27" s="21" t="s">
        <v>109</v>
      </c>
      <c r="E27" s="21" t="s">
        <v>110</v>
      </c>
      <c r="F27" s="21" t="s">
        <v>17</v>
      </c>
      <c r="G27" s="21" t="s">
        <v>35</v>
      </c>
    </row>
    <row r="28" ht="15.75" customHeight="1">
      <c r="B28" s="21" t="s">
        <v>111</v>
      </c>
      <c r="C28" s="21" t="s">
        <v>94</v>
      </c>
      <c r="D28" s="21" t="s">
        <v>109</v>
      </c>
      <c r="E28" s="21" t="s">
        <v>112</v>
      </c>
      <c r="F28" s="21"/>
      <c r="G28" s="21" t="s">
        <v>43</v>
      </c>
    </row>
    <row r="29" ht="15.75" customHeight="1">
      <c r="B29" s="21" t="s">
        <v>80</v>
      </c>
      <c r="C29" s="21" t="s">
        <v>94</v>
      </c>
      <c r="D29" s="21" t="s">
        <v>113</v>
      </c>
      <c r="E29" s="21" t="s">
        <v>114</v>
      </c>
      <c r="F29" s="21" t="s">
        <v>17</v>
      </c>
      <c r="G29" s="21" t="s">
        <v>35</v>
      </c>
    </row>
    <row r="30" ht="15.75" customHeight="1">
      <c r="B30" s="21" t="s">
        <v>80</v>
      </c>
      <c r="C30" s="21" t="s">
        <v>94</v>
      </c>
      <c r="D30" s="21" t="s">
        <v>113</v>
      </c>
      <c r="E30" s="21" t="s">
        <v>115</v>
      </c>
      <c r="F30" s="21" t="s">
        <v>18</v>
      </c>
      <c r="G30" s="21" t="s">
        <v>36</v>
      </c>
    </row>
    <row r="31" ht="15.75" customHeight="1">
      <c r="B31" s="21" t="s">
        <v>111</v>
      </c>
      <c r="C31" s="21" t="s">
        <v>94</v>
      </c>
      <c r="D31" s="21" t="s">
        <v>116</v>
      </c>
      <c r="E31" s="21" t="s">
        <v>117</v>
      </c>
      <c r="F31" s="21"/>
      <c r="G31" s="21" t="s">
        <v>42</v>
      </c>
    </row>
    <row r="32" ht="15.75" customHeight="1">
      <c r="B32" s="21" t="s">
        <v>80</v>
      </c>
      <c r="C32" s="21" t="s">
        <v>118</v>
      </c>
      <c r="D32" s="21" t="s">
        <v>119</v>
      </c>
      <c r="E32" s="21" t="s">
        <v>120</v>
      </c>
      <c r="F32" s="21" t="s">
        <v>21</v>
      </c>
      <c r="G32" s="21" t="s">
        <v>40</v>
      </c>
    </row>
    <row r="33" ht="15.75" customHeight="1">
      <c r="B33" s="21" t="s">
        <v>80</v>
      </c>
      <c r="C33" s="21" t="s">
        <v>118</v>
      </c>
      <c r="D33" s="21" t="s">
        <v>119</v>
      </c>
      <c r="E33" s="21" t="s">
        <v>121</v>
      </c>
      <c r="F33" s="21" t="s">
        <v>20</v>
      </c>
      <c r="G33" s="21" t="s">
        <v>40</v>
      </c>
    </row>
    <row r="34" ht="15.75" customHeight="1">
      <c r="B34" s="21" t="s">
        <v>80</v>
      </c>
      <c r="C34" s="21" t="s">
        <v>118</v>
      </c>
      <c r="D34" s="21" t="s">
        <v>119</v>
      </c>
      <c r="E34" s="21" t="s">
        <v>122</v>
      </c>
      <c r="F34" s="21" t="s">
        <v>24</v>
      </c>
      <c r="G34" s="21" t="s">
        <v>41</v>
      </c>
    </row>
    <row r="35" ht="15.75" customHeight="1">
      <c r="B35" s="21" t="s">
        <v>80</v>
      </c>
      <c r="C35" s="21" t="s">
        <v>123</v>
      </c>
      <c r="D35" s="21" t="s">
        <v>124</v>
      </c>
      <c r="E35" s="21" t="s">
        <v>125</v>
      </c>
      <c r="F35" s="21" t="s">
        <v>18</v>
      </c>
      <c r="G35" s="21" t="s">
        <v>37</v>
      </c>
    </row>
    <row r="36" ht="15.75" customHeight="1">
      <c r="B36" s="21" t="s">
        <v>80</v>
      </c>
      <c r="C36" s="21" t="s">
        <v>123</v>
      </c>
      <c r="D36" s="21" t="s">
        <v>124</v>
      </c>
      <c r="E36" s="21" t="s">
        <v>126</v>
      </c>
      <c r="F36" s="21"/>
      <c r="G36" s="21" t="s">
        <v>37</v>
      </c>
    </row>
    <row r="37" ht="15.75" customHeight="1">
      <c r="B37" s="21" t="s">
        <v>127</v>
      </c>
      <c r="C37" s="21" t="s">
        <v>123</v>
      </c>
      <c r="D37" s="21" t="s">
        <v>124</v>
      </c>
      <c r="E37" s="21" t="s">
        <v>128</v>
      </c>
      <c r="F37" s="21" t="s">
        <v>22</v>
      </c>
      <c r="G37" s="21" t="s">
        <v>38</v>
      </c>
    </row>
    <row r="38" ht="15.75" customHeight="1">
      <c r="B38" s="21" t="s">
        <v>111</v>
      </c>
      <c r="C38" s="21" t="s">
        <v>129</v>
      </c>
      <c r="D38" s="21" t="s">
        <v>130</v>
      </c>
      <c r="E38" s="21" t="s">
        <v>131</v>
      </c>
      <c r="F38" s="21" t="s">
        <v>23</v>
      </c>
      <c r="G38" s="21" t="s">
        <v>39</v>
      </c>
    </row>
    <row r="39" ht="15.75" customHeight="1">
      <c r="B39" s="21" t="s">
        <v>111</v>
      </c>
      <c r="C39" s="21" t="s">
        <v>129</v>
      </c>
      <c r="D39" s="21" t="s">
        <v>130</v>
      </c>
      <c r="E39" s="21" t="s">
        <v>132</v>
      </c>
      <c r="F39" s="21" t="s">
        <v>23</v>
      </c>
      <c r="G39" s="21" t="s">
        <v>39</v>
      </c>
    </row>
    <row r="40" ht="15.75" customHeight="1">
      <c r="B40" s="21" t="s">
        <v>111</v>
      </c>
      <c r="C40" s="21" t="s">
        <v>129</v>
      </c>
      <c r="D40" s="21" t="s">
        <v>130</v>
      </c>
      <c r="E40" s="21" t="s">
        <v>133</v>
      </c>
      <c r="F40" s="21" t="s">
        <v>23</v>
      </c>
      <c r="G40" s="21" t="s">
        <v>39</v>
      </c>
    </row>
    <row r="41" ht="15.75" customHeight="1">
      <c r="B41" s="21" t="s">
        <v>111</v>
      </c>
      <c r="C41" s="21" t="s">
        <v>129</v>
      </c>
      <c r="D41" s="21" t="s">
        <v>130</v>
      </c>
      <c r="E41" s="21" t="s">
        <v>134</v>
      </c>
      <c r="F41" s="21" t="s">
        <v>23</v>
      </c>
      <c r="G41" s="21" t="s">
        <v>39</v>
      </c>
    </row>
    <row r="42" ht="15.75" customHeight="1">
      <c r="B42" s="21" t="s">
        <v>111</v>
      </c>
      <c r="C42" s="21" t="s">
        <v>129</v>
      </c>
      <c r="D42" s="21" t="s">
        <v>130</v>
      </c>
      <c r="E42" s="21" t="s">
        <v>135</v>
      </c>
      <c r="F42" s="21" t="s">
        <v>23</v>
      </c>
      <c r="G42" s="21" t="s">
        <v>39</v>
      </c>
    </row>
    <row r="43" ht="15.75" customHeight="1">
      <c r="B43" s="21" t="s">
        <v>111</v>
      </c>
      <c r="C43" s="21" t="s">
        <v>129</v>
      </c>
      <c r="D43" s="21" t="s">
        <v>130</v>
      </c>
      <c r="E43" s="21" t="s">
        <v>136</v>
      </c>
      <c r="F43" s="21" t="s">
        <v>23</v>
      </c>
      <c r="G43" s="21" t="s">
        <v>39</v>
      </c>
    </row>
    <row r="44" ht="15.75" customHeight="1">
      <c r="B44" s="21" t="s">
        <v>111</v>
      </c>
      <c r="C44" s="21" t="s">
        <v>129</v>
      </c>
      <c r="D44" s="21" t="s">
        <v>130</v>
      </c>
      <c r="E44" s="21" t="s">
        <v>137</v>
      </c>
      <c r="F44" s="21" t="s">
        <v>23</v>
      </c>
      <c r="G44" s="21" t="s">
        <v>39</v>
      </c>
    </row>
    <row r="45" ht="15.75" customHeight="1">
      <c r="B45" s="21" t="s">
        <v>111</v>
      </c>
      <c r="C45" s="21" t="s">
        <v>129</v>
      </c>
      <c r="D45" s="21" t="s">
        <v>130</v>
      </c>
      <c r="E45" s="21" t="s">
        <v>138</v>
      </c>
      <c r="F45" s="21"/>
      <c r="G45" s="21" t="s">
        <v>39</v>
      </c>
    </row>
    <row r="46" ht="15.75" customHeight="1">
      <c r="B46" s="21" t="s">
        <v>139</v>
      </c>
      <c r="C46" s="21" t="s">
        <v>140</v>
      </c>
      <c r="D46" s="21" t="s">
        <v>141</v>
      </c>
      <c r="E46" s="21" t="s">
        <v>142</v>
      </c>
      <c r="F46" s="21"/>
      <c r="G46" s="21"/>
    </row>
    <row r="47" ht="15.75" customHeight="1">
      <c r="B47" s="21" t="s">
        <v>111</v>
      </c>
      <c r="C47" s="21" t="s">
        <v>143</v>
      </c>
      <c r="D47" s="21" t="s">
        <v>144</v>
      </c>
      <c r="E47" s="21" t="s">
        <v>145</v>
      </c>
      <c r="F47" s="21"/>
      <c r="G47" s="21" t="s">
        <v>39</v>
      </c>
    </row>
    <row r="48" ht="15.75" customHeight="1">
      <c r="B48" s="21" t="s">
        <v>111</v>
      </c>
      <c r="C48" s="21" t="s">
        <v>143</v>
      </c>
      <c r="D48" s="21" t="s">
        <v>144</v>
      </c>
      <c r="E48" s="21" t="s">
        <v>146</v>
      </c>
      <c r="F48" s="21"/>
      <c r="G48" s="21" t="s">
        <v>39</v>
      </c>
    </row>
    <row r="49" ht="15.75" customHeight="1">
      <c r="B49" s="21" t="s">
        <v>139</v>
      </c>
      <c r="C49" s="21" t="s">
        <v>143</v>
      </c>
      <c r="D49" s="21" t="s">
        <v>144</v>
      </c>
      <c r="E49" s="21" t="s">
        <v>147</v>
      </c>
      <c r="F49" s="21"/>
      <c r="G49" s="21" t="s">
        <v>39</v>
      </c>
    </row>
    <row r="50" ht="15.75" customHeight="1">
      <c r="B50" s="21" t="s">
        <v>111</v>
      </c>
      <c r="C50" s="21" t="s">
        <v>143</v>
      </c>
      <c r="D50" s="21" t="s">
        <v>144</v>
      </c>
      <c r="E50" s="21" t="s">
        <v>148</v>
      </c>
      <c r="F50" s="21"/>
      <c r="G50" s="21" t="s">
        <v>39</v>
      </c>
    </row>
    <row r="51" ht="15.75" customHeight="1">
      <c r="B51" s="21" t="s">
        <v>111</v>
      </c>
      <c r="C51" s="21" t="s">
        <v>149</v>
      </c>
      <c r="D51" s="21" t="s">
        <v>150</v>
      </c>
      <c r="E51" s="21" t="s">
        <v>151</v>
      </c>
      <c r="F51" s="21"/>
      <c r="G51" s="21"/>
    </row>
    <row r="52" ht="15.75" customHeight="1">
      <c r="B52" s="21" t="s">
        <v>111</v>
      </c>
      <c r="C52" s="21" t="s">
        <v>149</v>
      </c>
      <c r="D52" s="21" t="s">
        <v>150</v>
      </c>
      <c r="E52" s="21" t="s">
        <v>152</v>
      </c>
      <c r="F52" s="21" t="s">
        <v>23</v>
      </c>
      <c r="G52" s="21" t="s">
        <v>39</v>
      </c>
    </row>
    <row r="53" ht="15.75" customHeight="1">
      <c r="B53" s="21" t="s">
        <v>111</v>
      </c>
      <c r="C53" s="21" t="s">
        <v>149</v>
      </c>
      <c r="D53" s="21" t="s">
        <v>150</v>
      </c>
      <c r="E53" s="21" t="s">
        <v>153</v>
      </c>
      <c r="F53" s="21" t="s">
        <v>23</v>
      </c>
      <c r="G53" s="21" t="s">
        <v>39</v>
      </c>
    </row>
    <row r="54" ht="15.75" customHeight="1">
      <c r="B54" s="21" t="s">
        <v>127</v>
      </c>
      <c r="C54" s="21" t="s">
        <v>149</v>
      </c>
      <c r="D54" s="21" t="s">
        <v>150</v>
      </c>
      <c r="E54" s="21" t="s">
        <v>154</v>
      </c>
      <c r="F54" s="21"/>
      <c r="G54" s="21" t="s">
        <v>38</v>
      </c>
    </row>
    <row r="55" ht="15.75" customHeight="1">
      <c r="B55" s="21" t="s">
        <v>111</v>
      </c>
      <c r="C55" s="21" t="s">
        <v>155</v>
      </c>
      <c r="D55" s="21" t="s">
        <v>156</v>
      </c>
      <c r="E55" s="21" t="s">
        <v>157</v>
      </c>
      <c r="F55" s="21"/>
      <c r="G55" s="21"/>
    </row>
    <row r="56" ht="15.75" customHeight="1">
      <c r="B56" s="21" t="s">
        <v>111</v>
      </c>
      <c r="C56" s="21" t="s">
        <v>155</v>
      </c>
      <c r="D56" s="21" t="s">
        <v>156</v>
      </c>
      <c r="E56" s="21" t="s">
        <v>158</v>
      </c>
      <c r="F56" s="21"/>
      <c r="G56" s="21"/>
    </row>
    <row r="57" ht="15.75" customHeight="1">
      <c r="B57" s="21" t="s">
        <v>111</v>
      </c>
      <c r="C57" s="21" t="s">
        <v>155</v>
      </c>
      <c r="D57" s="21" t="s">
        <v>156</v>
      </c>
      <c r="E57" s="21" t="s">
        <v>159</v>
      </c>
      <c r="F57" s="21"/>
      <c r="G57" s="21"/>
    </row>
    <row r="58" ht="15.75" customHeight="1">
      <c r="B58" s="21" t="s">
        <v>111</v>
      </c>
      <c r="C58" s="21" t="s">
        <v>155</v>
      </c>
      <c r="D58" s="21" t="s">
        <v>156</v>
      </c>
      <c r="E58" s="21" t="s">
        <v>160</v>
      </c>
      <c r="F58" s="21"/>
      <c r="G58" s="21"/>
    </row>
    <row r="59" ht="15.75" customHeight="1">
      <c r="B59" s="21" t="s">
        <v>139</v>
      </c>
      <c r="C59" s="21" t="s">
        <v>161</v>
      </c>
      <c r="D59" s="21" t="s">
        <v>162</v>
      </c>
      <c r="E59" s="21" t="s">
        <v>163</v>
      </c>
      <c r="F59" s="21"/>
      <c r="G59" s="21"/>
    </row>
    <row r="60" ht="15.75" customHeight="1">
      <c r="B60" s="21" t="s">
        <v>139</v>
      </c>
      <c r="C60" s="21" t="s">
        <v>161</v>
      </c>
      <c r="D60" s="21" t="s">
        <v>162</v>
      </c>
      <c r="E60" s="21" t="s">
        <v>164</v>
      </c>
      <c r="F60" s="21"/>
      <c r="G60" s="21"/>
    </row>
    <row r="61" ht="15.75" customHeight="1">
      <c r="B61" s="21" t="s">
        <v>139</v>
      </c>
      <c r="C61" s="21" t="s">
        <v>161</v>
      </c>
      <c r="D61" s="21" t="s">
        <v>162</v>
      </c>
      <c r="E61" s="21" t="s">
        <v>165</v>
      </c>
      <c r="F61" s="21"/>
      <c r="G61" s="21"/>
    </row>
    <row r="62" ht="15.75" customHeight="1">
      <c r="B62" s="21" t="s">
        <v>139</v>
      </c>
      <c r="C62" s="21" t="s">
        <v>161</v>
      </c>
      <c r="D62" s="21" t="s">
        <v>162</v>
      </c>
      <c r="E62" s="21" t="s">
        <v>166</v>
      </c>
      <c r="F62" s="21"/>
      <c r="G62" s="21"/>
    </row>
    <row r="63" ht="15.75" customHeight="1">
      <c r="B63" s="21" t="s">
        <v>139</v>
      </c>
      <c r="C63" s="21" t="s">
        <v>161</v>
      </c>
      <c r="D63" s="21" t="s">
        <v>162</v>
      </c>
      <c r="E63" s="21" t="s">
        <v>167</v>
      </c>
      <c r="F63" s="21"/>
      <c r="G63" s="21"/>
    </row>
    <row r="64" ht="15.75" customHeight="1">
      <c r="B64" s="21" t="s">
        <v>139</v>
      </c>
      <c r="C64" s="21" t="s">
        <v>161</v>
      </c>
      <c r="D64" s="21" t="s">
        <v>162</v>
      </c>
      <c r="E64" s="21" t="s">
        <v>168</v>
      </c>
      <c r="F64" s="21"/>
      <c r="G64" s="21"/>
    </row>
    <row r="65" ht="15.75" customHeight="1">
      <c r="B65" s="21" t="s">
        <v>139</v>
      </c>
      <c r="C65" s="21" t="s">
        <v>161</v>
      </c>
      <c r="D65" s="21" t="s">
        <v>162</v>
      </c>
      <c r="E65" s="21" t="s">
        <v>169</v>
      </c>
      <c r="F65" s="21"/>
      <c r="G65" s="21"/>
    </row>
    <row r="66" ht="15.75" customHeight="1">
      <c r="B66" s="21" t="s">
        <v>139</v>
      </c>
      <c r="C66" s="21" t="s">
        <v>170</v>
      </c>
      <c r="D66" s="21" t="s">
        <v>171</v>
      </c>
      <c r="E66" s="21" t="s">
        <v>172</v>
      </c>
      <c r="F66" s="21"/>
      <c r="G66" s="21"/>
    </row>
    <row r="67" ht="15.75" customHeight="1">
      <c r="B67" s="21" t="s">
        <v>139</v>
      </c>
      <c r="C67" s="21" t="s">
        <v>170</v>
      </c>
      <c r="D67" s="21" t="s">
        <v>171</v>
      </c>
      <c r="E67" s="21" t="s">
        <v>173</v>
      </c>
      <c r="F67" s="21"/>
      <c r="G67" s="21"/>
    </row>
    <row r="68" ht="15.75" customHeight="1">
      <c r="B68" s="21" t="s">
        <v>139</v>
      </c>
      <c r="C68" s="21" t="s">
        <v>170</v>
      </c>
      <c r="D68" s="21" t="s">
        <v>171</v>
      </c>
      <c r="E68" s="21" t="s">
        <v>174</v>
      </c>
      <c r="F68" s="21"/>
      <c r="G68" s="21"/>
    </row>
    <row r="69" ht="15.75" customHeight="1">
      <c r="B69" s="21" t="s">
        <v>139</v>
      </c>
      <c r="C69" s="21" t="s">
        <v>170</v>
      </c>
      <c r="D69" s="21" t="s">
        <v>171</v>
      </c>
      <c r="E69" s="21" t="s">
        <v>175</v>
      </c>
      <c r="F69" s="21"/>
      <c r="G69" s="21"/>
    </row>
    <row r="70" ht="15.75" customHeight="1">
      <c r="B70" s="21" t="s">
        <v>93</v>
      </c>
      <c r="C70" s="21" t="s">
        <v>170</v>
      </c>
      <c r="D70" s="21" t="s">
        <v>171</v>
      </c>
      <c r="E70" s="21" t="s">
        <v>176</v>
      </c>
      <c r="F70" s="21"/>
      <c r="G70" s="21"/>
    </row>
    <row r="71" ht="15.75" customHeight="1">
      <c r="B71" s="21" t="s">
        <v>93</v>
      </c>
      <c r="C71" s="21" t="s">
        <v>170</v>
      </c>
      <c r="D71" s="21" t="s">
        <v>171</v>
      </c>
      <c r="E71" s="21" t="s">
        <v>177</v>
      </c>
      <c r="F71" s="21"/>
      <c r="G71" s="21"/>
    </row>
    <row r="72" ht="15.75" customHeight="1">
      <c r="B72" s="21" t="s">
        <v>93</v>
      </c>
      <c r="C72" s="21" t="s">
        <v>170</v>
      </c>
      <c r="D72" s="21" t="s">
        <v>171</v>
      </c>
      <c r="E72" s="21" t="s">
        <v>178</v>
      </c>
      <c r="F72" s="21"/>
      <c r="G72" s="21"/>
    </row>
    <row r="73" ht="15.75" customHeight="1">
      <c r="B73" s="21" t="s">
        <v>179</v>
      </c>
      <c r="C73" s="21" t="s">
        <v>180</v>
      </c>
      <c r="D73" s="21" t="s">
        <v>181</v>
      </c>
      <c r="E73" s="21" t="s">
        <v>182</v>
      </c>
      <c r="F73" s="21" t="s">
        <v>25</v>
      </c>
      <c r="G73" s="21" t="s">
        <v>44</v>
      </c>
    </row>
    <row r="74" ht="15.75" customHeight="1">
      <c r="B74" s="21" t="s">
        <v>179</v>
      </c>
      <c r="C74" s="21" t="s">
        <v>180</v>
      </c>
      <c r="D74" s="21" t="s">
        <v>181</v>
      </c>
      <c r="E74" s="21" t="s">
        <v>183</v>
      </c>
      <c r="F74" s="21"/>
      <c r="G74" s="21"/>
    </row>
    <row r="75" ht="15.75" customHeight="1">
      <c r="B75" s="21" t="s">
        <v>179</v>
      </c>
      <c r="C75" s="21" t="s">
        <v>180</v>
      </c>
      <c r="D75" s="21" t="s">
        <v>181</v>
      </c>
      <c r="E75" s="21" t="s">
        <v>184</v>
      </c>
      <c r="F75" s="21"/>
      <c r="G75" s="21"/>
    </row>
    <row r="76" ht="15.75" customHeight="1">
      <c r="B76" s="21" t="s">
        <v>179</v>
      </c>
      <c r="C76" s="21" t="s">
        <v>180</v>
      </c>
      <c r="D76" s="21" t="s">
        <v>181</v>
      </c>
      <c r="E76" s="21" t="s">
        <v>185</v>
      </c>
      <c r="F76" s="21"/>
      <c r="G76" s="21"/>
    </row>
    <row r="77" ht="15.75" customHeight="1">
      <c r="B77" s="21" t="s">
        <v>179</v>
      </c>
      <c r="C77" s="21" t="s">
        <v>180</v>
      </c>
      <c r="D77" s="21" t="s">
        <v>181</v>
      </c>
      <c r="E77" s="21" t="s">
        <v>186</v>
      </c>
      <c r="F77" s="21"/>
      <c r="G77" s="21"/>
    </row>
    <row r="78" ht="15.75" customHeight="1">
      <c r="B78" s="21" t="s">
        <v>179</v>
      </c>
      <c r="C78" s="21" t="s">
        <v>180</v>
      </c>
      <c r="D78" s="21" t="s">
        <v>181</v>
      </c>
      <c r="E78" s="21" t="s">
        <v>187</v>
      </c>
      <c r="F78" s="21"/>
      <c r="G78" s="21"/>
    </row>
    <row r="79" ht="15.75" customHeight="1">
      <c r="B79" s="21" t="s">
        <v>179</v>
      </c>
      <c r="C79" s="21" t="s">
        <v>180</v>
      </c>
      <c r="D79" s="21" t="s">
        <v>181</v>
      </c>
      <c r="E79" s="21" t="s">
        <v>188</v>
      </c>
      <c r="F79" s="21"/>
      <c r="G79" s="21"/>
    </row>
    <row r="80" ht="15.75" customHeight="1">
      <c r="B80" s="21"/>
      <c r="C80" s="21"/>
      <c r="D80" s="21"/>
      <c r="E80" s="21"/>
      <c r="F80" s="21"/>
      <c r="G80" s="21"/>
    </row>
    <row r="81" ht="15.75" customHeight="1">
      <c r="B81" s="21"/>
      <c r="C81" s="21"/>
      <c r="D81" s="21"/>
      <c r="E81" s="21"/>
      <c r="F81" s="21"/>
      <c r="G81" s="21"/>
    </row>
    <row r="82" ht="15.75" customHeight="1">
      <c r="B82" s="21"/>
      <c r="C82" s="21"/>
      <c r="D82" s="21"/>
      <c r="E82" s="21"/>
      <c r="F82" s="21"/>
      <c r="G82" s="21"/>
    </row>
    <row r="83" ht="15.75" customHeight="1">
      <c r="B83" s="21"/>
      <c r="C83" s="21"/>
      <c r="D83" s="21"/>
      <c r="E83" s="21"/>
      <c r="F83" s="21"/>
      <c r="G83" s="21"/>
    </row>
    <row r="84" ht="15.75" customHeight="1">
      <c r="B84" s="21"/>
      <c r="C84" s="21"/>
      <c r="D84" s="21"/>
      <c r="E84" s="21"/>
      <c r="F84" s="21"/>
      <c r="G84" s="21"/>
    </row>
    <row r="85" ht="15.75" customHeight="1">
      <c r="B85" s="21"/>
      <c r="C85" s="21"/>
      <c r="D85" s="21"/>
      <c r="E85" s="21"/>
      <c r="F85" s="21"/>
      <c r="G85" s="21"/>
    </row>
    <row r="86" ht="15.75" customHeight="1">
      <c r="B86" s="21"/>
      <c r="C86" s="21"/>
      <c r="D86" s="21"/>
      <c r="E86" s="21"/>
      <c r="F86" s="21"/>
      <c r="G86" s="21"/>
    </row>
    <row r="87" ht="15.75" customHeight="1">
      <c r="B87" s="21"/>
      <c r="C87" s="21"/>
      <c r="D87" s="21"/>
      <c r="E87" s="21"/>
      <c r="F87" s="21"/>
      <c r="G87" s="21"/>
    </row>
    <row r="88" ht="15.75" customHeight="1">
      <c r="B88" s="21"/>
      <c r="C88" s="21"/>
      <c r="D88" s="21"/>
      <c r="E88" s="21"/>
      <c r="F88" s="21"/>
      <c r="G88" s="21"/>
    </row>
    <row r="89" ht="15.75" customHeight="1">
      <c r="B89" s="21"/>
      <c r="C89" s="21"/>
      <c r="D89" s="21"/>
      <c r="E89" s="21"/>
      <c r="F89" s="21"/>
      <c r="G89" s="21"/>
    </row>
    <row r="90" ht="15.75" customHeight="1">
      <c r="B90" s="21"/>
      <c r="C90" s="21"/>
      <c r="D90" s="21"/>
      <c r="E90" s="21"/>
      <c r="F90" s="21"/>
      <c r="G90" s="21"/>
    </row>
    <row r="91" ht="15.75" customHeight="1">
      <c r="B91" s="21"/>
      <c r="C91" s="21"/>
      <c r="D91" s="21"/>
      <c r="E91" s="21"/>
      <c r="F91" s="21"/>
      <c r="G91" s="21"/>
    </row>
    <row r="92" ht="15.75" customHeight="1">
      <c r="B92" s="21"/>
      <c r="C92" s="21"/>
      <c r="D92" s="21"/>
      <c r="E92" s="21"/>
      <c r="F92" s="21"/>
      <c r="G92" s="21"/>
    </row>
    <row r="93" ht="15.75" customHeight="1">
      <c r="B93" s="21"/>
      <c r="C93" s="21"/>
      <c r="D93" s="21"/>
      <c r="E93" s="21"/>
      <c r="F93" s="21"/>
      <c r="G93" s="21"/>
    </row>
    <row r="94" ht="15.75" customHeight="1">
      <c r="B94" s="21"/>
      <c r="C94" s="21"/>
      <c r="D94" s="21"/>
      <c r="E94" s="21"/>
      <c r="F94" s="21"/>
      <c r="G94" s="21"/>
    </row>
    <row r="95" ht="15.75" customHeight="1">
      <c r="B95" s="21"/>
      <c r="C95" s="21"/>
      <c r="D95" s="21"/>
      <c r="E95" s="21"/>
      <c r="F95" s="21"/>
      <c r="G95" s="21"/>
    </row>
    <row r="96" ht="15.75" customHeight="1">
      <c r="B96" s="21"/>
      <c r="C96" s="21"/>
      <c r="D96" s="21"/>
      <c r="E96" s="21"/>
      <c r="F96" s="21"/>
      <c r="G96" s="21"/>
    </row>
    <row r="97" ht="15.75" customHeight="1">
      <c r="B97" s="21"/>
      <c r="C97" s="21"/>
      <c r="D97" s="21"/>
      <c r="E97" s="21"/>
      <c r="F97" s="21"/>
      <c r="G97" s="21"/>
    </row>
    <row r="98" ht="15.75" customHeight="1">
      <c r="B98" s="21"/>
      <c r="C98" s="21"/>
      <c r="D98" s="21"/>
      <c r="E98" s="21"/>
      <c r="F98" s="21"/>
      <c r="G98" s="21"/>
    </row>
    <row r="99" ht="15.75" customHeight="1">
      <c r="B99" s="21"/>
      <c r="C99" s="21"/>
      <c r="D99" s="21"/>
      <c r="E99" s="21"/>
      <c r="F99" s="21"/>
      <c r="G99" s="21"/>
    </row>
    <row r="100" ht="15.75" customHeight="1">
      <c r="B100" s="21"/>
      <c r="C100" s="21"/>
      <c r="D100" s="21"/>
      <c r="E100" s="21"/>
      <c r="F100" s="21"/>
      <c r="G100" s="21"/>
    </row>
    <row r="101" ht="15.75" customHeight="1">
      <c r="B101" s="21"/>
      <c r="C101" s="21"/>
      <c r="D101" s="21"/>
      <c r="E101" s="21"/>
      <c r="F101" s="21"/>
      <c r="G101" s="21"/>
    </row>
    <row r="102" ht="15.75" customHeight="1">
      <c r="B102" s="21"/>
      <c r="C102" s="21"/>
      <c r="D102" s="21"/>
      <c r="E102" s="21"/>
      <c r="F102" s="21"/>
      <c r="G102" s="21"/>
    </row>
    <row r="103" ht="15.75" customHeight="1">
      <c r="B103" s="21"/>
      <c r="C103" s="21"/>
      <c r="D103" s="21"/>
      <c r="E103" s="21"/>
      <c r="F103" s="21"/>
      <c r="G103" s="21"/>
    </row>
    <row r="104" ht="15.75" customHeight="1">
      <c r="B104" s="21"/>
      <c r="C104" s="21"/>
      <c r="D104" s="21"/>
      <c r="E104" s="21"/>
      <c r="F104" s="21"/>
      <c r="G104" s="21"/>
    </row>
    <row r="105" ht="15.75" customHeight="1">
      <c r="B105" s="21"/>
      <c r="C105" s="21"/>
      <c r="D105" s="21"/>
      <c r="E105" s="21"/>
      <c r="F105" s="21"/>
      <c r="G105" s="21"/>
    </row>
    <row r="106" ht="15.75" customHeight="1">
      <c r="B106" s="21"/>
      <c r="C106" s="21"/>
      <c r="D106" s="21"/>
      <c r="E106" s="21"/>
      <c r="F106" s="21"/>
      <c r="G106" s="21"/>
    </row>
    <row r="107" ht="15.75" customHeight="1">
      <c r="B107" s="21"/>
      <c r="C107" s="21"/>
      <c r="D107" s="21"/>
      <c r="E107" s="21"/>
      <c r="F107" s="21"/>
      <c r="G107" s="21"/>
    </row>
    <row r="108" ht="15.75" customHeight="1">
      <c r="B108" s="21"/>
      <c r="C108" s="21"/>
      <c r="D108" s="21"/>
      <c r="E108" s="21"/>
      <c r="F108" s="21"/>
      <c r="G108" s="21"/>
    </row>
    <row r="109" ht="15.75" customHeight="1">
      <c r="B109" s="21"/>
      <c r="C109" s="21"/>
      <c r="D109" s="21"/>
      <c r="E109" s="21"/>
      <c r="F109" s="21"/>
      <c r="G109" s="21"/>
    </row>
    <row r="110" ht="15.75" customHeight="1">
      <c r="B110" s="21"/>
      <c r="C110" s="21"/>
      <c r="D110" s="21"/>
      <c r="E110" s="21"/>
      <c r="F110" s="21"/>
      <c r="G110" s="21"/>
    </row>
    <row r="111" ht="15.75" customHeight="1">
      <c r="B111" s="21"/>
      <c r="C111" s="21"/>
      <c r="D111" s="21"/>
      <c r="E111" s="21"/>
      <c r="F111" s="21"/>
      <c r="G111" s="21"/>
    </row>
    <row r="112" ht="15.75" customHeight="1">
      <c r="B112" s="21"/>
      <c r="C112" s="21"/>
      <c r="D112" s="21"/>
      <c r="E112" s="21"/>
      <c r="F112" s="21"/>
      <c r="G112" s="21"/>
    </row>
    <row r="113" ht="15.75" customHeight="1">
      <c r="B113" s="21"/>
      <c r="C113" s="21"/>
      <c r="D113" s="21"/>
      <c r="E113" s="21"/>
      <c r="F113" s="21"/>
      <c r="G113" s="21"/>
    </row>
    <row r="114" ht="15.75" customHeight="1">
      <c r="B114" s="21"/>
      <c r="C114" s="21"/>
      <c r="D114" s="21"/>
      <c r="E114" s="21"/>
      <c r="F114" s="21"/>
      <c r="G114" s="21"/>
    </row>
    <row r="115" ht="15.75" customHeight="1">
      <c r="B115" s="21"/>
      <c r="C115" s="21"/>
      <c r="D115" s="21"/>
      <c r="E115" s="21"/>
      <c r="F115" s="21"/>
      <c r="G115" s="21"/>
    </row>
    <row r="116" ht="15.75" customHeight="1">
      <c r="B116" s="21"/>
      <c r="C116" s="21"/>
      <c r="D116" s="21"/>
      <c r="E116" s="21"/>
      <c r="F116" s="21"/>
      <c r="G116" s="21"/>
    </row>
    <row r="117" ht="15.75" customHeight="1">
      <c r="B117" s="21"/>
      <c r="C117" s="21"/>
      <c r="D117" s="21"/>
      <c r="E117" s="21"/>
      <c r="F117" s="21"/>
      <c r="G117" s="21"/>
    </row>
    <row r="118" ht="15.75" customHeight="1">
      <c r="B118" s="21"/>
      <c r="C118" s="21"/>
      <c r="D118" s="21"/>
      <c r="E118" s="21"/>
      <c r="F118" s="21"/>
      <c r="G118" s="21"/>
    </row>
    <row r="119" ht="15.75" customHeight="1">
      <c r="B119" s="21"/>
      <c r="C119" s="21"/>
      <c r="D119" s="21"/>
      <c r="E119" s="21"/>
      <c r="F119" s="21"/>
      <c r="G119" s="21"/>
    </row>
    <row r="120" ht="15.75" customHeight="1">
      <c r="B120" s="21"/>
      <c r="C120" s="21"/>
      <c r="D120" s="21"/>
      <c r="E120" s="21"/>
      <c r="F120" s="21"/>
      <c r="G120" s="21"/>
    </row>
    <row r="121" ht="15.75" customHeight="1">
      <c r="B121" s="21"/>
      <c r="C121" s="21"/>
      <c r="D121" s="21"/>
      <c r="E121" s="21"/>
      <c r="F121" s="21"/>
      <c r="G121" s="21"/>
    </row>
    <row r="122" ht="15.75" customHeight="1">
      <c r="B122" s="21"/>
      <c r="C122" s="21"/>
      <c r="D122" s="21"/>
      <c r="E122" s="21"/>
      <c r="F122" s="21"/>
      <c r="G122" s="21"/>
    </row>
    <row r="123" ht="15.75" customHeight="1">
      <c r="B123" s="21"/>
      <c r="C123" s="21"/>
      <c r="D123" s="21"/>
      <c r="E123" s="21"/>
      <c r="F123" s="21"/>
      <c r="G123" s="21"/>
    </row>
    <row r="124" ht="15.75" customHeight="1">
      <c r="B124" s="21"/>
      <c r="C124" s="21"/>
      <c r="D124" s="21"/>
      <c r="E124" s="21"/>
      <c r="F124" s="21"/>
      <c r="G124" s="21"/>
    </row>
    <row r="125" ht="15.75" customHeight="1">
      <c r="B125" s="21"/>
      <c r="C125" s="21"/>
      <c r="D125" s="21"/>
      <c r="E125" s="21"/>
      <c r="F125" s="21"/>
      <c r="G125" s="21"/>
    </row>
    <row r="126" ht="15.75" customHeight="1">
      <c r="B126" s="21"/>
      <c r="C126" s="21"/>
      <c r="D126" s="21"/>
      <c r="E126" s="21"/>
      <c r="F126" s="21"/>
      <c r="G126" s="21"/>
    </row>
    <row r="127" ht="15.75" customHeight="1">
      <c r="B127" s="21"/>
      <c r="C127" s="21"/>
      <c r="D127" s="21"/>
      <c r="E127" s="21"/>
      <c r="F127" s="21"/>
      <c r="G127" s="21"/>
    </row>
    <row r="128" ht="15.75" customHeight="1">
      <c r="B128" s="21"/>
      <c r="C128" s="21"/>
      <c r="D128" s="21"/>
      <c r="E128" s="21"/>
      <c r="F128" s="21"/>
      <c r="G128" s="21"/>
    </row>
    <row r="129" ht="15.75" customHeight="1">
      <c r="B129" s="21"/>
      <c r="C129" s="21"/>
      <c r="D129" s="21"/>
      <c r="E129" s="21"/>
      <c r="F129" s="21"/>
      <c r="G129" s="21"/>
    </row>
    <row r="130" ht="15.75" customHeight="1">
      <c r="B130" s="21"/>
      <c r="C130" s="21"/>
      <c r="D130" s="21"/>
      <c r="E130" s="21"/>
      <c r="F130" s="21"/>
      <c r="G130" s="21"/>
    </row>
    <row r="131" ht="15.75" customHeight="1">
      <c r="B131" s="21"/>
      <c r="C131" s="21"/>
      <c r="D131" s="21"/>
      <c r="E131" s="21"/>
      <c r="F131" s="21"/>
      <c r="G131" s="21"/>
    </row>
    <row r="132" ht="15.75" customHeight="1">
      <c r="B132" s="21"/>
      <c r="C132" s="21"/>
      <c r="D132" s="21"/>
      <c r="E132" s="21"/>
      <c r="F132" s="21"/>
      <c r="G132" s="21"/>
    </row>
    <row r="133" ht="15.75" customHeight="1">
      <c r="B133" s="21"/>
      <c r="C133" s="21"/>
      <c r="D133" s="21"/>
      <c r="E133" s="21"/>
      <c r="F133" s="21"/>
      <c r="G133" s="21"/>
    </row>
    <row r="134" ht="15.75" customHeight="1">
      <c r="B134" s="21"/>
      <c r="C134" s="21"/>
      <c r="D134" s="21"/>
      <c r="E134" s="21"/>
      <c r="F134" s="21"/>
      <c r="G134" s="21"/>
    </row>
    <row r="135" ht="15.75" customHeight="1">
      <c r="B135" s="21"/>
      <c r="C135" s="21"/>
      <c r="D135" s="21"/>
      <c r="E135" s="21"/>
      <c r="F135" s="21"/>
      <c r="G135" s="21"/>
    </row>
    <row r="136" ht="15.75" customHeight="1">
      <c r="B136" s="21"/>
      <c r="C136" s="21"/>
      <c r="D136" s="21"/>
      <c r="E136" s="21"/>
      <c r="F136" s="21"/>
      <c r="G136" s="21"/>
    </row>
    <row r="137" ht="15.75" customHeight="1">
      <c r="B137" s="21"/>
      <c r="C137" s="21"/>
      <c r="D137" s="21"/>
      <c r="E137" s="21"/>
      <c r="F137" s="21"/>
      <c r="G137" s="21"/>
    </row>
    <row r="138" ht="15.75" customHeight="1">
      <c r="B138" s="21"/>
      <c r="C138" s="21"/>
      <c r="D138" s="21"/>
      <c r="E138" s="21"/>
      <c r="F138" s="21"/>
      <c r="G138" s="21"/>
    </row>
    <row r="139" ht="15.75" customHeight="1">
      <c r="B139" s="21"/>
      <c r="C139" s="21"/>
      <c r="D139" s="21"/>
      <c r="E139" s="21"/>
      <c r="F139" s="21"/>
      <c r="G139" s="21"/>
    </row>
    <row r="140" ht="15.75" customHeight="1">
      <c r="B140" s="21"/>
      <c r="C140" s="21"/>
      <c r="D140" s="21"/>
      <c r="E140" s="21"/>
      <c r="F140" s="21"/>
      <c r="G140" s="21"/>
    </row>
    <row r="141" ht="15.75" customHeight="1">
      <c r="B141" s="21"/>
      <c r="C141" s="21"/>
      <c r="D141" s="21"/>
      <c r="E141" s="21"/>
      <c r="F141" s="21"/>
      <c r="G141" s="21"/>
    </row>
    <row r="142" ht="15.75" customHeight="1">
      <c r="B142" s="21"/>
      <c r="C142" s="21"/>
      <c r="D142" s="21"/>
      <c r="E142" s="21"/>
      <c r="F142" s="21"/>
      <c r="G142" s="21"/>
    </row>
    <row r="143" ht="15.75" customHeight="1">
      <c r="B143" s="21"/>
      <c r="C143" s="21"/>
      <c r="D143" s="21"/>
      <c r="E143" s="21"/>
      <c r="F143" s="21"/>
      <c r="G143" s="21"/>
    </row>
    <row r="144" ht="15.75" customHeight="1">
      <c r="B144" s="21"/>
      <c r="C144" s="21"/>
      <c r="D144" s="21"/>
      <c r="E144" s="21"/>
      <c r="F144" s="21"/>
      <c r="G144" s="21"/>
    </row>
    <row r="145" ht="15.75" customHeight="1">
      <c r="B145" s="21"/>
      <c r="C145" s="21"/>
      <c r="D145" s="21"/>
      <c r="E145" s="21"/>
      <c r="F145" s="21"/>
      <c r="G145" s="21"/>
    </row>
    <row r="146" ht="15.75" customHeight="1">
      <c r="B146" s="21"/>
      <c r="C146" s="21"/>
      <c r="D146" s="21"/>
      <c r="E146" s="21"/>
      <c r="F146" s="21"/>
      <c r="G146" s="21"/>
    </row>
    <row r="147" ht="15.75" customHeight="1">
      <c r="B147" s="21"/>
      <c r="C147" s="21"/>
      <c r="D147" s="21"/>
      <c r="E147" s="21"/>
      <c r="F147" s="21"/>
      <c r="G147" s="21"/>
    </row>
    <row r="148" ht="15.75" customHeight="1">
      <c r="B148" s="21"/>
      <c r="C148" s="21"/>
      <c r="D148" s="21"/>
      <c r="E148" s="21"/>
      <c r="F148" s="21"/>
      <c r="G148" s="21"/>
    </row>
    <row r="149" ht="15.75" customHeight="1">
      <c r="B149" s="21"/>
      <c r="C149" s="21"/>
      <c r="D149" s="21"/>
      <c r="E149" s="21"/>
      <c r="F149" s="21"/>
      <c r="G149" s="21"/>
    </row>
    <row r="150" ht="15.75" customHeight="1">
      <c r="B150" s="21"/>
      <c r="C150" s="21"/>
      <c r="D150" s="21"/>
      <c r="E150" s="21"/>
      <c r="F150" s="21"/>
      <c r="G150" s="21"/>
    </row>
    <row r="151" ht="15.75" customHeight="1">
      <c r="B151" s="21"/>
      <c r="C151" s="21"/>
      <c r="D151" s="21"/>
      <c r="E151" s="21"/>
      <c r="F151" s="21"/>
      <c r="G151" s="21"/>
    </row>
    <row r="152" ht="15.75" customHeight="1">
      <c r="B152" s="21"/>
      <c r="C152" s="21"/>
      <c r="D152" s="21"/>
      <c r="E152" s="21"/>
      <c r="F152" s="21"/>
      <c r="G152" s="21"/>
    </row>
    <row r="153" ht="15.75" customHeight="1">
      <c r="B153" s="21"/>
      <c r="C153" s="21"/>
      <c r="D153" s="21"/>
      <c r="E153" s="21"/>
      <c r="F153" s="21"/>
      <c r="G153" s="21"/>
    </row>
    <row r="154" ht="15.75" customHeight="1">
      <c r="B154" s="21"/>
      <c r="C154" s="21"/>
      <c r="D154" s="21"/>
      <c r="E154" s="21"/>
      <c r="F154" s="21"/>
      <c r="G154" s="21"/>
    </row>
    <row r="155" ht="15.75" customHeight="1">
      <c r="B155" s="21"/>
      <c r="C155" s="21"/>
      <c r="D155" s="21"/>
      <c r="E155" s="21"/>
      <c r="F155" s="21"/>
      <c r="G155" s="21"/>
    </row>
    <row r="156" ht="15.75" customHeight="1">
      <c r="B156" s="21"/>
      <c r="C156" s="21"/>
      <c r="D156" s="21"/>
      <c r="E156" s="21"/>
      <c r="F156" s="21"/>
      <c r="G156" s="21"/>
    </row>
    <row r="157" ht="15.75" customHeight="1">
      <c r="B157" s="21"/>
      <c r="C157" s="21"/>
      <c r="D157" s="21"/>
      <c r="E157" s="21"/>
      <c r="F157" s="21"/>
      <c r="G157" s="21"/>
    </row>
    <row r="158" ht="15.75" customHeight="1">
      <c r="B158" s="21"/>
      <c r="C158" s="21"/>
      <c r="D158" s="21"/>
      <c r="E158" s="21"/>
      <c r="F158" s="21"/>
      <c r="G158" s="21"/>
    </row>
    <row r="159" ht="15.75" customHeight="1">
      <c r="B159" s="21"/>
      <c r="C159" s="21"/>
      <c r="D159" s="21"/>
      <c r="E159" s="21"/>
      <c r="F159" s="21"/>
      <c r="G159" s="21"/>
    </row>
    <row r="160" ht="15.75" customHeight="1">
      <c r="B160" s="21"/>
      <c r="C160" s="21"/>
      <c r="D160" s="21"/>
      <c r="E160" s="21"/>
      <c r="F160" s="21"/>
      <c r="G160" s="21"/>
    </row>
    <row r="161" ht="15.75" customHeight="1">
      <c r="B161" s="21"/>
      <c r="C161" s="21"/>
      <c r="D161" s="21"/>
      <c r="E161" s="21"/>
      <c r="F161" s="21"/>
      <c r="G161" s="21"/>
    </row>
    <row r="162" ht="15.75" customHeight="1">
      <c r="B162" s="21"/>
      <c r="C162" s="21"/>
      <c r="D162" s="21"/>
      <c r="E162" s="21"/>
      <c r="F162" s="21"/>
      <c r="G162" s="21"/>
    </row>
    <row r="163" ht="15.75" customHeight="1">
      <c r="B163" s="21"/>
      <c r="C163" s="21"/>
      <c r="D163" s="21"/>
      <c r="E163" s="21"/>
      <c r="F163" s="21"/>
      <c r="G163" s="21"/>
    </row>
    <row r="164" ht="15.75" customHeight="1">
      <c r="B164" s="21"/>
      <c r="C164" s="21"/>
      <c r="D164" s="21"/>
      <c r="E164" s="21"/>
      <c r="F164" s="21"/>
      <c r="G164" s="21"/>
    </row>
    <row r="165" ht="15.75" customHeight="1">
      <c r="B165" s="21"/>
      <c r="C165" s="21"/>
      <c r="D165" s="21"/>
      <c r="E165" s="21"/>
      <c r="F165" s="21"/>
      <c r="G165" s="21"/>
    </row>
    <row r="166" ht="15.75" customHeight="1">
      <c r="B166" s="21"/>
      <c r="C166" s="21"/>
      <c r="D166" s="21"/>
      <c r="E166" s="21"/>
      <c r="F166" s="21"/>
      <c r="G166" s="21"/>
    </row>
    <row r="167" ht="15.75" customHeight="1">
      <c r="B167" s="21"/>
      <c r="C167" s="21"/>
      <c r="D167" s="21"/>
      <c r="E167" s="21"/>
      <c r="F167" s="21"/>
      <c r="G167" s="21"/>
    </row>
    <row r="168" ht="15.75" customHeight="1">
      <c r="B168" s="21"/>
      <c r="C168" s="21"/>
      <c r="D168" s="21"/>
      <c r="E168" s="21"/>
      <c r="F168" s="21"/>
      <c r="G168" s="21"/>
    </row>
    <row r="169" ht="15.75" customHeight="1">
      <c r="B169" s="21"/>
      <c r="C169" s="21"/>
      <c r="D169" s="21"/>
      <c r="E169" s="21"/>
      <c r="F169" s="21"/>
      <c r="G169" s="21"/>
    </row>
    <row r="170" ht="15.75" customHeight="1">
      <c r="B170" s="21"/>
      <c r="C170" s="21"/>
      <c r="D170" s="21"/>
      <c r="E170" s="21"/>
      <c r="F170" s="21"/>
      <c r="G170" s="21"/>
    </row>
    <row r="171" ht="15.75" customHeight="1">
      <c r="B171" s="21"/>
      <c r="C171" s="21"/>
      <c r="D171" s="21"/>
      <c r="E171" s="21"/>
      <c r="F171" s="21"/>
      <c r="G171" s="21"/>
    </row>
    <row r="172" ht="15.75" customHeight="1">
      <c r="B172" s="21"/>
      <c r="C172" s="21"/>
      <c r="D172" s="21"/>
      <c r="E172" s="21"/>
      <c r="F172" s="21"/>
      <c r="G172" s="21"/>
    </row>
    <row r="173" ht="15.75" customHeight="1">
      <c r="B173" s="21"/>
      <c r="C173" s="21"/>
      <c r="D173" s="21"/>
      <c r="E173" s="21"/>
      <c r="F173" s="21"/>
      <c r="G173" s="21"/>
    </row>
    <row r="174" ht="15.75" customHeight="1">
      <c r="B174" s="21"/>
      <c r="C174" s="21"/>
      <c r="D174" s="21"/>
      <c r="E174" s="21"/>
      <c r="F174" s="21"/>
      <c r="G174" s="21"/>
    </row>
    <row r="175" ht="15.75" customHeight="1">
      <c r="B175" s="21"/>
      <c r="C175" s="21"/>
      <c r="D175" s="21"/>
      <c r="E175" s="21"/>
      <c r="F175" s="21"/>
      <c r="G175" s="21"/>
    </row>
    <row r="176" ht="15.75" customHeight="1">
      <c r="B176" s="21"/>
      <c r="C176" s="21"/>
      <c r="D176" s="21"/>
      <c r="E176" s="21"/>
      <c r="F176" s="21"/>
      <c r="G176" s="21"/>
    </row>
    <row r="177" ht="15.75" customHeight="1">
      <c r="B177" s="21"/>
      <c r="C177" s="21"/>
      <c r="D177" s="21"/>
      <c r="E177" s="21"/>
      <c r="F177" s="21"/>
      <c r="G177" s="21"/>
    </row>
    <row r="178" ht="15.75" customHeight="1">
      <c r="B178" s="21"/>
      <c r="C178" s="21"/>
      <c r="D178" s="21"/>
      <c r="E178" s="21"/>
      <c r="F178" s="21"/>
      <c r="G178" s="21"/>
    </row>
    <row r="179" ht="15.75" customHeight="1">
      <c r="B179" s="21"/>
      <c r="C179" s="21"/>
      <c r="D179" s="21"/>
      <c r="E179" s="21"/>
      <c r="F179" s="21"/>
      <c r="G179" s="21"/>
    </row>
    <row r="180" ht="15.75" customHeight="1">
      <c r="B180" s="21"/>
      <c r="C180" s="21"/>
      <c r="D180" s="21"/>
      <c r="E180" s="21"/>
      <c r="F180" s="21"/>
      <c r="G180" s="21"/>
    </row>
    <row r="181" ht="15.75" customHeight="1">
      <c r="B181" s="21"/>
      <c r="C181" s="21"/>
      <c r="D181" s="21"/>
      <c r="E181" s="21"/>
      <c r="F181" s="21"/>
      <c r="G181" s="21"/>
    </row>
    <row r="182" ht="15.75" customHeight="1">
      <c r="B182" s="21"/>
      <c r="C182" s="21"/>
      <c r="D182" s="21"/>
      <c r="E182" s="21"/>
      <c r="F182" s="21"/>
      <c r="G182" s="21"/>
    </row>
    <row r="183" ht="15.75" customHeight="1">
      <c r="B183" s="21"/>
      <c r="C183" s="21"/>
      <c r="D183" s="21"/>
      <c r="E183" s="21"/>
      <c r="F183" s="21"/>
      <c r="G183" s="21"/>
    </row>
    <row r="184" ht="15.75" customHeight="1">
      <c r="B184" s="21"/>
      <c r="C184" s="21"/>
      <c r="D184" s="21"/>
      <c r="E184" s="21"/>
      <c r="F184" s="21"/>
      <c r="G184" s="21"/>
    </row>
    <row r="185" ht="15.75" customHeight="1">
      <c r="B185" s="21"/>
      <c r="C185" s="21"/>
      <c r="D185" s="21"/>
      <c r="E185" s="21"/>
      <c r="F185" s="21"/>
      <c r="G185" s="21"/>
    </row>
    <row r="186" ht="15.75" customHeight="1">
      <c r="B186" s="21"/>
      <c r="C186" s="21"/>
      <c r="D186" s="21"/>
      <c r="E186" s="21"/>
      <c r="F186" s="21"/>
      <c r="G186" s="21"/>
    </row>
    <row r="187" ht="15.75" customHeight="1">
      <c r="B187" s="21"/>
      <c r="C187" s="21"/>
      <c r="D187" s="21"/>
      <c r="E187" s="21"/>
      <c r="F187" s="21"/>
      <c r="G187" s="21"/>
    </row>
    <row r="188" ht="15.75" customHeight="1">
      <c r="B188" s="21"/>
      <c r="C188" s="21"/>
      <c r="D188" s="21"/>
      <c r="E188" s="21"/>
      <c r="F188" s="21"/>
      <c r="G188" s="21"/>
    </row>
    <row r="189" ht="15.75" customHeight="1">
      <c r="B189" s="21"/>
      <c r="C189" s="21"/>
      <c r="D189" s="21"/>
      <c r="E189" s="21"/>
      <c r="F189" s="21"/>
      <c r="G189" s="21"/>
    </row>
    <row r="190" ht="15.75" customHeight="1">
      <c r="B190" s="21"/>
      <c r="C190" s="21"/>
      <c r="D190" s="21"/>
      <c r="E190" s="21"/>
      <c r="F190" s="21"/>
      <c r="G190" s="21"/>
    </row>
    <row r="191" ht="15.75" customHeight="1">
      <c r="B191" s="21"/>
      <c r="C191" s="21"/>
      <c r="D191" s="21"/>
      <c r="E191" s="21"/>
      <c r="F191" s="21"/>
      <c r="G191" s="21"/>
    </row>
    <row r="192" ht="15.75" customHeight="1">
      <c r="B192" s="21"/>
      <c r="C192" s="21"/>
      <c r="D192" s="21"/>
      <c r="E192" s="21"/>
      <c r="F192" s="21"/>
      <c r="G192" s="21"/>
    </row>
    <row r="193" ht="15.75" customHeight="1">
      <c r="B193" s="21"/>
      <c r="C193" s="21"/>
      <c r="D193" s="21"/>
      <c r="E193" s="21"/>
      <c r="F193" s="21"/>
      <c r="G193" s="21"/>
    </row>
    <row r="194" ht="15.75" customHeight="1">
      <c r="B194" s="21"/>
      <c r="C194" s="21"/>
      <c r="D194" s="21"/>
      <c r="E194" s="21"/>
      <c r="F194" s="21"/>
      <c r="G194" s="21"/>
    </row>
    <row r="195" ht="15.75" customHeight="1">
      <c r="B195" s="21"/>
      <c r="C195" s="21"/>
      <c r="D195" s="21"/>
      <c r="E195" s="21"/>
      <c r="F195" s="21"/>
      <c r="G195" s="21"/>
    </row>
    <row r="196" ht="15.75" customHeight="1">
      <c r="B196" s="21"/>
      <c r="C196" s="21"/>
      <c r="D196" s="21"/>
      <c r="E196" s="21"/>
      <c r="F196" s="21"/>
      <c r="G196" s="21"/>
    </row>
    <row r="197" ht="15.75" customHeight="1">
      <c r="B197" s="21"/>
      <c r="C197" s="21"/>
      <c r="D197" s="21"/>
      <c r="E197" s="21"/>
      <c r="F197" s="21"/>
      <c r="G197" s="21"/>
    </row>
    <row r="198" ht="15.75" customHeight="1">
      <c r="B198" s="21"/>
      <c r="C198" s="21"/>
      <c r="D198" s="21"/>
      <c r="E198" s="21"/>
      <c r="F198" s="21"/>
      <c r="G198" s="21"/>
    </row>
    <row r="199" ht="15.75" customHeight="1">
      <c r="B199" s="21"/>
      <c r="C199" s="21"/>
      <c r="D199" s="21"/>
      <c r="E199" s="21"/>
      <c r="F199" s="21"/>
      <c r="G199" s="21"/>
    </row>
    <row r="200" ht="15.75" customHeight="1">
      <c r="B200" s="21"/>
      <c r="C200" s="21"/>
      <c r="D200" s="21"/>
      <c r="E200" s="21"/>
      <c r="F200" s="21"/>
      <c r="G200" s="21"/>
    </row>
    <row r="201" ht="15.75" customHeight="1">
      <c r="B201" s="21"/>
      <c r="C201" s="21"/>
      <c r="D201" s="21"/>
      <c r="E201" s="21"/>
      <c r="F201" s="21"/>
      <c r="G201" s="21"/>
    </row>
    <row r="202" ht="15.75" customHeight="1">
      <c r="B202" s="21"/>
      <c r="C202" s="21"/>
      <c r="D202" s="21"/>
      <c r="E202" s="21"/>
      <c r="F202" s="21"/>
      <c r="G202" s="21"/>
    </row>
    <row r="203" ht="15.75" customHeight="1">
      <c r="B203" s="21"/>
      <c r="C203" s="21"/>
      <c r="D203" s="21"/>
      <c r="E203" s="21"/>
      <c r="F203" s="21"/>
      <c r="G203" s="21"/>
    </row>
    <row r="204" ht="15.75" customHeight="1">
      <c r="B204" s="21"/>
      <c r="C204" s="21"/>
      <c r="D204" s="21"/>
      <c r="E204" s="21"/>
      <c r="F204" s="21"/>
      <c r="G204" s="21"/>
    </row>
    <row r="205" ht="15.75" customHeight="1">
      <c r="B205" s="21"/>
      <c r="C205" s="21"/>
      <c r="D205" s="21"/>
      <c r="E205" s="21"/>
      <c r="F205" s="21"/>
      <c r="G205" s="21"/>
    </row>
    <row r="206" ht="15.75" customHeight="1">
      <c r="B206" s="21"/>
      <c r="C206" s="21"/>
      <c r="D206" s="21"/>
      <c r="E206" s="21"/>
      <c r="F206" s="21"/>
      <c r="G206" s="21"/>
    </row>
    <row r="207" ht="15.75" customHeight="1">
      <c r="B207" s="21"/>
      <c r="C207" s="21"/>
      <c r="D207" s="21"/>
      <c r="E207" s="21"/>
      <c r="F207" s="21"/>
      <c r="G207" s="21"/>
    </row>
    <row r="208" ht="15.75" customHeight="1">
      <c r="B208" s="21"/>
      <c r="C208" s="21"/>
      <c r="D208" s="21"/>
      <c r="E208" s="21"/>
      <c r="F208" s="21"/>
      <c r="G208" s="21"/>
    </row>
    <row r="209" ht="15.75" customHeight="1">
      <c r="B209" s="21"/>
      <c r="C209" s="21"/>
      <c r="D209" s="21"/>
      <c r="E209" s="21"/>
      <c r="F209" s="21"/>
      <c r="G209" s="21"/>
    </row>
    <row r="210" ht="15.75" customHeight="1">
      <c r="B210" s="21"/>
      <c r="C210" s="21"/>
      <c r="D210" s="21"/>
      <c r="E210" s="21"/>
      <c r="F210" s="21"/>
      <c r="G210" s="21"/>
    </row>
    <row r="211" ht="15.75" customHeight="1">
      <c r="B211" s="21"/>
      <c r="C211" s="21"/>
      <c r="D211" s="21"/>
      <c r="E211" s="21"/>
      <c r="F211" s="21"/>
      <c r="G211" s="21"/>
    </row>
    <row r="212" ht="15.75" customHeight="1">
      <c r="B212" s="21"/>
      <c r="C212" s="21"/>
      <c r="D212" s="21"/>
      <c r="E212" s="21"/>
      <c r="F212" s="21"/>
      <c r="G212" s="21"/>
    </row>
    <row r="213" ht="15.75" customHeight="1">
      <c r="B213" s="21"/>
      <c r="C213" s="21"/>
      <c r="D213" s="21"/>
      <c r="E213" s="21"/>
      <c r="F213" s="21"/>
      <c r="G213" s="21"/>
    </row>
    <row r="214" ht="15.75" customHeight="1">
      <c r="B214" s="21"/>
      <c r="C214" s="21"/>
      <c r="D214" s="21"/>
      <c r="E214" s="21"/>
      <c r="F214" s="21"/>
      <c r="G214" s="21"/>
    </row>
    <row r="215" ht="15.75" customHeight="1">
      <c r="B215" s="21"/>
      <c r="C215" s="21"/>
      <c r="D215" s="21"/>
      <c r="E215" s="21"/>
      <c r="F215" s="21"/>
      <c r="G215" s="21"/>
    </row>
    <row r="216" ht="15.75" customHeight="1">
      <c r="B216" s="21"/>
      <c r="C216" s="21"/>
      <c r="D216" s="21"/>
      <c r="E216" s="21"/>
      <c r="F216" s="21"/>
      <c r="G216" s="21"/>
    </row>
    <row r="217" ht="15.75" customHeight="1">
      <c r="B217" s="21"/>
      <c r="C217" s="21"/>
      <c r="D217" s="21"/>
      <c r="E217" s="21"/>
      <c r="F217" s="21"/>
      <c r="G217" s="21"/>
    </row>
    <row r="218" ht="15.75" customHeight="1">
      <c r="B218" s="21"/>
      <c r="C218" s="21"/>
      <c r="D218" s="21"/>
      <c r="E218" s="21"/>
      <c r="F218" s="21"/>
      <c r="G218" s="21"/>
    </row>
    <row r="219" ht="15.75" customHeight="1">
      <c r="B219" s="21"/>
      <c r="C219" s="21"/>
      <c r="D219" s="21"/>
      <c r="E219" s="21"/>
      <c r="F219" s="21"/>
      <c r="G219" s="21"/>
    </row>
    <row r="220" ht="15.75" customHeight="1">
      <c r="B220" s="21"/>
      <c r="C220" s="21"/>
      <c r="D220" s="21"/>
      <c r="E220" s="21"/>
      <c r="F220" s="21"/>
      <c r="G220" s="21"/>
    </row>
    <row r="221" ht="15.75" customHeight="1">
      <c r="B221" s="21"/>
      <c r="C221" s="21"/>
      <c r="D221" s="21"/>
      <c r="E221" s="21"/>
      <c r="F221" s="21"/>
      <c r="G221" s="21"/>
    </row>
    <row r="222" ht="15.75" customHeight="1">
      <c r="B222" s="21"/>
      <c r="C222" s="21"/>
      <c r="D222" s="21"/>
      <c r="E222" s="21"/>
      <c r="F222" s="21"/>
      <c r="G222" s="21"/>
    </row>
    <row r="223" ht="15.75" customHeight="1">
      <c r="B223" s="21"/>
      <c r="C223" s="21"/>
      <c r="D223" s="21"/>
      <c r="E223" s="21"/>
      <c r="F223" s="21"/>
      <c r="G223" s="21"/>
    </row>
    <row r="224" ht="15.75" customHeight="1">
      <c r="B224" s="21"/>
      <c r="C224" s="21"/>
      <c r="D224" s="21"/>
      <c r="E224" s="21"/>
      <c r="F224" s="21"/>
      <c r="G224" s="21"/>
    </row>
    <row r="225" ht="15.75" customHeight="1">
      <c r="B225" s="21"/>
      <c r="C225" s="21"/>
      <c r="D225" s="21"/>
      <c r="E225" s="21"/>
      <c r="F225" s="21"/>
      <c r="G225" s="21"/>
    </row>
    <row r="226" ht="15.75" customHeight="1">
      <c r="B226" s="21"/>
      <c r="C226" s="21"/>
      <c r="D226" s="21"/>
      <c r="E226" s="21"/>
      <c r="F226" s="21"/>
      <c r="G226" s="21"/>
    </row>
    <row r="227" ht="15.75" customHeight="1">
      <c r="B227" s="21"/>
      <c r="C227" s="21"/>
      <c r="D227" s="21"/>
      <c r="E227" s="21"/>
      <c r="F227" s="21"/>
      <c r="G227" s="21"/>
    </row>
    <row r="228" ht="15.75" customHeight="1">
      <c r="B228" s="21"/>
      <c r="C228" s="21"/>
      <c r="D228" s="21"/>
      <c r="E228" s="21"/>
      <c r="F228" s="21"/>
      <c r="G228" s="21"/>
    </row>
    <row r="229" ht="15.75" customHeight="1">
      <c r="B229" s="21"/>
      <c r="C229" s="21"/>
      <c r="D229" s="21"/>
      <c r="E229" s="21"/>
      <c r="F229" s="21"/>
      <c r="G229" s="21"/>
    </row>
    <row r="230" ht="15.75" customHeight="1">
      <c r="B230" s="21"/>
      <c r="C230" s="21"/>
      <c r="D230" s="21"/>
      <c r="E230" s="21"/>
      <c r="F230" s="21"/>
      <c r="G230" s="21"/>
    </row>
    <row r="231" ht="15.75" customHeight="1">
      <c r="B231" s="21"/>
      <c r="C231" s="21"/>
      <c r="D231" s="21"/>
      <c r="E231" s="21"/>
      <c r="F231" s="21"/>
      <c r="G231" s="21"/>
    </row>
    <row r="232" ht="15.75" customHeight="1">
      <c r="B232" s="21"/>
      <c r="C232" s="21"/>
      <c r="D232" s="21"/>
      <c r="E232" s="21"/>
      <c r="F232" s="21"/>
      <c r="G232" s="21"/>
    </row>
    <row r="233" ht="15.75" customHeight="1">
      <c r="B233" s="21"/>
      <c r="C233" s="21"/>
      <c r="D233" s="21"/>
      <c r="E233" s="21"/>
      <c r="F233" s="21"/>
      <c r="G233" s="21"/>
    </row>
    <row r="234" ht="15.75" customHeight="1">
      <c r="B234" s="21"/>
      <c r="C234" s="21"/>
      <c r="D234" s="21"/>
      <c r="E234" s="21"/>
      <c r="F234" s="21"/>
      <c r="G234" s="21"/>
    </row>
    <row r="235" ht="15.75" customHeight="1">
      <c r="B235" s="21"/>
      <c r="C235" s="21"/>
      <c r="D235" s="21"/>
      <c r="E235" s="21"/>
      <c r="F235" s="21"/>
      <c r="G235" s="21"/>
    </row>
    <row r="236" ht="15.75" customHeight="1">
      <c r="B236" s="21"/>
      <c r="C236" s="21"/>
      <c r="D236" s="21"/>
      <c r="E236" s="21"/>
      <c r="F236" s="21"/>
      <c r="G236" s="21"/>
    </row>
    <row r="237" ht="15.75" customHeight="1">
      <c r="B237" s="21"/>
      <c r="C237" s="21"/>
      <c r="D237" s="21"/>
      <c r="E237" s="21"/>
      <c r="F237" s="21"/>
      <c r="G237" s="21"/>
    </row>
    <row r="238" ht="15.75" customHeight="1">
      <c r="B238" s="21"/>
      <c r="C238" s="21"/>
      <c r="D238" s="21"/>
      <c r="E238" s="21"/>
      <c r="F238" s="21"/>
      <c r="G238" s="21"/>
    </row>
    <row r="239" ht="15.75" customHeight="1">
      <c r="B239" s="21"/>
      <c r="C239" s="21"/>
      <c r="D239" s="21"/>
      <c r="E239" s="21"/>
      <c r="F239" s="21"/>
      <c r="G239" s="21"/>
    </row>
    <row r="240" ht="15.75" customHeight="1">
      <c r="B240" s="21"/>
      <c r="C240" s="21"/>
      <c r="D240" s="21"/>
      <c r="E240" s="21"/>
      <c r="F240" s="21"/>
      <c r="G240" s="21"/>
    </row>
    <row r="241" ht="15.75" customHeight="1">
      <c r="B241" s="21"/>
      <c r="C241" s="21"/>
      <c r="D241" s="21"/>
      <c r="E241" s="21"/>
      <c r="F241" s="21"/>
      <c r="G241" s="21"/>
    </row>
    <row r="242" ht="15.75" customHeight="1">
      <c r="B242" s="21"/>
      <c r="C242" s="21"/>
      <c r="D242" s="21"/>
      <c r="E242" s="21"/>
      <c r="F242" s="21"/>
      <c r="G242" s="21"/>
    </row>
    <row r="243" ht="15.75" customHeight="1">
      <c r="B243" s="21"/>
      <c r="C243" s="21"/>
      <c r="D243" s="21"/>
      <c r="E243" s="21"/>
      <c r="F243" s="21"/>
      <c r="G243" s="21"/>
    </row>
    <row r="244" ht="15.75" customHeight="1">
      <c r="B244" s="21"/>
      <c r="C244" s="21"/>
      <c r="D244" s="21"/>
      <c r="E244" s="21"/>
      <c r="F244" s="21"/>
      <c r="G244" s="21"/>
    </row>
    <row r="245" ht="15.75" customHeight="1">
      <c r="B245" s="21"/>
      <c r="C245" s="21"/>
      <c r="D245" s="21"/>
      <c r="E245" s="21"/>
      <c r="F245" s="21"/>
      <c r="G245" s="21"/>
    </row>
    <row r="246" ht="15.75" customHeight="1">
      <c r="B246" s="21"/>
      <c r="C246" s="21"/>
      <c r="D246" s="21"/>
      <c r="E246" s="21"/>
      <c r="F246" s="21"/>
      <c r="G246" s="21"/>
    </row>
    <row r="247" ht="15.75" customHeight="1">
      <c r="B247" s="21"/>
      <c r="C247" s="21"/>
      <c r="D247" s="21"/>
      <c r="E247" s="21"/>
      <c r="F247" s="21"/>
      <c r="G247" s="21"/>
    </row>
    <row r="248" ht="15.75" customHeight="1">
      <c r="B248" s="21"/>
      <c r="C248" s="21"/>
      <c r="D248" s="21"/>
      <c r="E248" s="21"/>
      <c r="F248" s="21"/>
      <c r="G248" s="21"/>
    </row>
    <row r="249" ht="15.75" customHeight="1">
      <c r="B249" s="21"/>
      <c r="C249" s="21"/>
      <c r="D249" s="21"/>
      <c r="E249" s="21"/>
      <c r="F249" s="21"/>
      <c r="G249" s="21"/>
    </row>
    <row r="250" ht="15.75" customHeight="1">
      <c r="B250" s="21"/>
      <c r="C250" s="21"/>
      <c r="D250" s="21"/>
      <c r="E250" s="21"/>
      <c r="F250" s="21"/>
      <c r="G250" s="21"/>
    </row>
    <row r="251" ht="15.75" customHeight="1">
      <c r="B251" s="21"/>
      <c r="C251" s="21"/>
      <c r="D251" s="21"/>
      <c r="E251" s="21"/>
      <c r="F251" s="21"/>
      <c r="G251" s="21"/>
    </row>
    <row r="252" ht="15.75" customHeight="1">
      <c r="B252" s="21"/>
      <c r="C252" s="21"/>
      <c r="D252" s="21"/>
      <c r="E252" s="21"/>
      <c r="F252" s="21"/>
      <c r="G252" s="21"/>
    </row>
    <row r="253" ht="15.75" customHeight="1">
      <c r="B253" s="21"/>
      <c r="C253" s="21"/>
      <c r="D253" s="21"/>
      <c r="E253" s="21"/>
      <c r="F253" s="21"/>
      <c r="G253" s="21"/>
    </row>
    <row r="254" ht="15.75" customHeight="1">
      <c r="B254" s="21"/>
      <c r="C254" s="21"/>
      <c r="D254" s="21"/>
      <c r="E254" s="21"/>
      <c r="F254" s="21"/>
      <c r="G254" s="21"/>
    </row>
    <row r="255" ht="15.75" customHeight="1">
      <c r="B255" s="21"/>
      <c r="C255" s="21"/>
      <c r="D255" s="21"/>
      <c r="E255" s="21"/>
      <c r="F255" s="21"/>
      <c r="G255" s="21"/>
    </row>
    <row r="256" ht="15.75" customHeight="1">
      <c r="B256" s="21"/>
      <c r="C256" s="21"/>
      <c r="D256" s="21"/>
      <c r="E256" s="21"/>
      <c r="F256" s="21"/>
      <c r="G256" s="21"/>
    </row>
    <row r="257" ht="15.75" customHeight="1">
      <c r="B257" s="21"/>
      <c r="C257" s="21"/>
      <c r="D257" s="21"/>
      <c r="E257" s="21"/>
      <c r="F257" s="21"/>
      <c r="G257" s="21"/>
    </row>
    <row r="258" ht="15.75" customHeight="1">
      <c r="B258" s="21"/>
      <c r="C258" s="21"/>
      <c r="D258" s="21"/>
      <c r="E258" s="21"/>
      <c r="F258" s="21"/>
      <c r="G258" s="21"/>
    </row>
    <row r="259" ht="15.75" customHeight="1">
      <c r="B259" s="21"/>
      <c r="C259" s="21"/>
      <c r="D259" s="21"/>
      <c r="E259" s="21"/>
      <c r="F259" s="21"/>
      <c r="G259" s="21"/>
    </row>
    <row r="260" ht="15.75" customHeight="1">
      <c r="B260" s="21"/>
      <c r="C260" s="21"/>
      <c r="D260" s="21"/>
      <c r="E260" s="21"/>
      <c r="F260" s="21"/>
      <c r="G260" s="21"/>
    </row>
    <row r="261" ht="15.75" customHeight="1">
      <c r="B261" s="21"/>
      <c r="C261" s="21"/>
      <c r="D261" s="21"/>
      <c r="E261" s="21"/>
      <c r="F261" s="21"/>
      <c r="G261" s="21"/>
    </row>
    <row r="262" ht="15.75" customHeight="1">
      <c r="B262" s="21"/>
      <c r="C262" s="21"/>
      <c r="D262" s="21"/>
      <c r="E262" s="21"/>
      <c r="F262" s="21"/>
      <c r="G262" s="21"/>
    </row>
    <row r="263" ht="15.75" customHeight="1">
      <c r="B263" s="21"/>
      <c r="C263" s="21"/>
      <c r="D263" s="21"/>
      <c r="E263" s="21"/>
      <c r="F263" s="21"/>
      <c r="G263" s="21"/>
    </row>
    <row r="264" ht="15.75" customHeight="1">
      <c r="B264" s="21"/>
      <c r="C264" s="21"/>
      <c r="D264" s="21"/>
      <c r="E264" s="21"/>
      <c r="F264" s="21"/>
      <c r="G264" s="21"/>
    </row>
    <row r="265" ht="15.75" customHeight="1">
      <c r="B265" s="21"/>
      <c r="C265" s="21"/>
      <c r="D265" s="21"/>
      <c r="E265" s="21"/>
      <c r="F265" s="21"/>
      <c r="G265" s="21"/>
    </row>
    <row r="266" ht="15.75" customHeight="1">
      <c r="B266" s="21"/>
      <c r="C266" s="21"/>
      <c r="D266" s="21"/>
      <c r="E266" s="21"/>
      <c r="F266" s="21"/>
      <c r="G266" s="21"/>
    </row>
    <row r="267" ht="15.75" customHeight="1">
      <c r="B267" s="21"/>
      <c r="C267" s="21"/>
      <c r="D267" s="21"/>
      <c r="E267" s="21"/>
      <c r="F267" s="21"/>
      <c r="G267" s="21"/>
    </row>
    <row r="268" ht="15.75" customHeight="1">
      <c r="B268" s="21"/>
      <c r="C268" s="21"/>
      <c r="D268" s="21"/>
      <c r="E268" s="21"/>
      <c r="F268" s="21"/>
      <c r="G268" s="21"/>
    </row>
    <row r="269" ht="15.75" customHeight="1">
      <c r="B269" s="21"/>
      <c r="C269" s="21"/>
      <c r="D269" s="21"/>
      <c r="E269" s="21"/>
      <c r="F269" s="21"/>
      <c r="G269" s="21"/>
    </row>
    <row r="270" ht="15.75" customHeight="1">
      <c r="B270" s="21"/>
      <c r="C270" s="21"/>
      <c r="D270" s="21"/>
      <c r="E270" s="21"/>
      <c r="F270" s="21"/>
      <c r="G270" s="21"/>
    </row>
    <row r="271" ht="15.75" customHeight="1">
      <c r="B271" s="21"/>
      <c r="C271" s="21"/>
      <c r="D271" s="21"/>
      <c r="E271" s="21"/>
      <c r="F271" s="21"/>
      <c r="G271" s="21"/>
    </row>
    <row r="272" ht="15.75" customHeight="1">
      <c r="B272" s="21"/>
      <c r="C272" s="21"/>
      <c r="D272" s="21"/>
      <c r="E272" s="21"/>
      <c r="F272" s="21"/>
      <c r="G272" s="21"/>
    </row>
    <row r="273" ht="15.75" customHeight="1">
      <c r="B273" s="21"/>
      <c r="C273" s="21"/>
      <c r="D273" s="21"/>
      <c r="E273" s="21"/>
      <c r="F273" s="21"/>
      <c r="G273" s="21"/>
    </row>
    <row r="274" ht="15.75" customHeight="1">
      <c r="B274" s="21"/>
      <c r="C274" s="21"/>
      <c r="D274" s="21"/>
      <c r="E274" s="21"/>
      <c r="F274" s="21"/>
      <c r="G274" s="21"/>
    </row>
    <row r="275" ht="15.75" customHeight="1">
      <c r="B275" s="21"/>
      <c r="C275" s="21"/>
      <c r="D275" s="21"/>
      <c r="E275" s="21"/>
      <c r="F275" s="21"/>
      <c r="G275" s="21"/>
    </row>
    <row r="276" ht="15.75" customHeight="1">
      <c r="B276" s="21"/>
      <c r="C276" s="21"/>
      <c r="D276" s="21"/>
      <c r="E276" s="21"/>
      <c r="F276" s="21"/>
      <c r="G276" s="21"/>
    </row>
    <row r="277" ht="15.75" customHeight="1">
      <c r="B277" s="21"/>
      <c r="C277" s="21"/>
      <c r="D277" s="21"/>
      <c r="E277" s="21"/>
      <c r="F277" s="21"/>
      <c r="G277" s="21"/>
    </row>
    <row r="278" ht="15.75" customHeight="1">
      <c r="B278" s="21"/>
      <c r="C278" s="21"/>
      <c r="D278" s="21"/>
      <c r="E278" s="21"/>
      <c r="F278" s="21"/>
      <c r="G278" s="21"/>
    </row>
    <row r="279" ht="15.75" customHeight="1">
      <c r="B279" s="21"/>
      <c r="C279" s="21"/>
      <c r="D279" s="21"/>
      <c r="E279" s="21"/>
      <c r="F279" s="21"/>
      <c r="G279" s="2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F11:F103">
      <formula1>Refentes!$C$15:$G$24</formula1>
    </dataValidation>
    <dataValidation type="list" allowBlank="1" showErrorMessage="1" sqref="G11:G103">
      <formula1>Refentes!$C$35:$G$44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43.13"/>
    <col customWidth="1" min="6" max="6" width="57.25"/>
    <col customWidth="1" min="7" max="7" width="44.5"/>
  </cols>
  <sheetData>
    <row r="1">
      <c r="A1" s="16" t="s">
        <v>189</v>
      </c>
      <c r="E1" s="28" t="s">
        <v>190</v>
      </c>
      <c r="F1" s="16" t="str">
        <f>IFERROR(__xludf.DUMMYFUNCTION("{IMPORTRANGE(E2,""Listado Cursos!i:i""),IMPORTRANGE(E2,""Listado Cursos!J:J"")}"),"#REF!")</f>
        <v>#REF!</v>
      </c>
      <c r="G1" s="16" t="str">
        <f>"COMPUTED_VALUE"</f>
        <v>COMPUTED_VALUE</v>
      </c>
    </row>
    <row r="2">
      <c r="A2" s="16" t="s">
        <v>191</v>
      </c>
      <c r="E2" s="16" t="str">
        <f>IFERROR(__xludf.DUMMYFUNCTION("VLOOKUP(E1,IMPORTRANGE(""14SVpSRgMldrNgug8WsLJFt7WyBUBxCrt0v9QzSB_xyA"",""DataBase!A:B""),2,FALSE)"),"#REF!")</f>
        <v>#REF!</v>
      </c>
      <c r="F2" s="16" t="str">
        <f t="shared" ref="F2:F81" si="1">"COMPUTED_VALUE"</f>
        <v>COMPUTED_VALUE</v>
      </c>
      <c r="G2" s="16"/>
    </row>
    <row r="3">
      <c r="A3" s="16" t="s">
        <v>192</v>
      </c>
      <c r="F3" s="16" t="str">
        <f t="shared" si="1"/>
        <v>COMPUTED_VALUE</v>
      </c>
      <c r="G3" s="16"/>
    </row>
    <row r="4">
      <c r="A4" s="16" t="s">
        <v>193</v>
      </c>
      <c r="F4" s="16" t="str">
        <f t="shared" si="1"/>
        <v>COMPUTED_VALUE</v>
      </c>
      <c r="G4" s="16"/>
    </row>
    <row r="5">
      <c r="A5" s="16" t="s">
        <v>194</v>
      </c>
      <c r="F5" s="16" t="str">
        <f t="shared" si="1"/>
        <v>COMPUTED_VALUE</v>
      </c>
      <c r="G5" s="16"/>
    </row>
    <row r="6">
      <c r="A6" s="16" t="s">
        <v>195</v>
      </c>
      <c r="F6" s="16" t="str">
        <f t="shared" si="1"/>
        <v>COMPUTED_VALUE</v>
      </c>
      <c r="G6" s="16"/>
    </row>
    <row r="7">
      <c r="A7" s="16" t="s">
        <v>196</v>
      </c>
      <c r="F7" s="16" t="str">
        <f t="shared" si="1"/>
        <v>COMPUTED_VALUE</v>
      </c>
      <c r="G7" s="16"/>
    </row>
    <row r="8">
      <c r="A8" s="16" t="s">
        <v>197</v>
      </c>
      <c r="F8" s="16" t="str">
        <f t="shared" si="1"/>
        <v>COMPUTED_VALUE</v>
      </c>
      <c r="G8" s="16"/>
    </row>
    <row r="9">
      <c r="A9" s="16" t="s">
        <v>198</v>
      </c>
      <c r="F9" s="16" t="str">
        <f t="shared" si="1"/>
        <v>COMPUTED_VALUE</v>
      </c>
      <c r="G9" s="16"/>
    </row>
    <row r="10">
      <c r="A10" s="16" t="s">
        <v>199</v>
      </c>
      <c r="F10" s="16" t="str">
        <f t="shared" si="1"/>
        <v>COMPUTED_VALUE</v>
      </c>
      <c r="G10" s="16"/>
    </row>
    <row r="11">
      <c r="A11" s="16" t="s">
        <v>200</v>
      </c>
      <c r="F11" s="16" t="str">
        <f t="shared" si="1"/>
        <v>COMPUTED_VALUE</v>
      </c>
      <c r="G11" s="16"/>
    </row>
    <row r="12">
      <c r="A12" s="16" t="s">
        <v>201</v>
      </c>
      <c r="F12" s="16" t="str">
        <f t="shared" si="1"/>
        <v>COMPUTED_VALUE</v>
      </c>
      <c r="G12" s="16"/>
    </row>
    <row r="13">
      <c r="A13" s="16" t="s">
        <v>202</v>
      </c>
      <c r="F13" s="16" t="str">
        <f t="shared" si="1"/>
        <v>COMPUTED_VALUE</v>
      </c>
      <c r="G13" s="16"/>
    </row>
    <row r="14">
      <c r="A14" s="16" t="s">
        <v>203</v>
      </c>
      <c r="F14" s="16" t="str">
        <f t="shared" si="1"/>
        <v>COMPUTED_VALUE</v>
      </c>
      <c r="G14" s="16"/>
    </row>
    <row r="15">
      <c r="A15" s="16" t="s">
        <v>2</v>
      </c>
      <c r="F15" s="16" t="str">
        <f t="shared" si="1"/>
        <v>COMPUTED_VALUE</v>
      </c>
      <c r="G15" s="16"/>
    </row>
    <row r="16">
      <c r="A16" s="16" t="s">
        <v>204</v>
      </c>
      <c r="F16" s="16" t="str">
        <f t="shared" si="1"/>
        <v>COMPUTED_VALUE</v>
      </c>
      <c r="G16" s="16"/>
    </row>
    <row r="17">
      <c r="A17" s="16" t="s">
        <v>205</v>
      </c>
      <c r="F17" s="16" t="str">
        <f t="shared" si="1"/>
        <v>COMPUTED_VALUE</v>
      </c>
      <c r="G17" s="16"/>
    </row>
    <row r="18">
      <c r="A18" s="16" t="s">
        <v>206</v>
      </c>
      <c r="F18" s="16" t="str">
        <f t="shared" si="1"/>
        <v>COMPUTED_VALUE</v>
      </c>
      <c r="G18" s="16"/>
    </row>
    <row r="19">
      <c r="A19" s="16" t="s">
        <v>207</v>
      </c>
      <c r="F19" s="16" t="str">
        <f t="shared" si="1"/>
        <v>COMPUTED_VALUE</v>
      </c>
      <c r="G19" s="16"/>
    </row>
    <row r="20">
      <c r="A20" s="16" t="s">
        <v>208</v>
      </c>
      <c r="F20" s="16" t="str">
        <f t="shared" si="1"/>
        <v>COMPUTED_VALUE</v>
      </c>
      <c r="G20" s="16"/>
    </row>
    <row r="21" ht="15.75" customHeight="1">
      <c r="A21" s="16" t="s">
        <v>209</v>
      </c>
      <c r="F21" s="16" t="str">
        <f t="shared" si="1"/>
        <v>COMPUTED_VALUE</v>
      </c>
      <c r="G21" s="16"/>
    </row>
    <row r="22" ht="15.75" customHeight="1">
      <c r="A22" s="16" t="s">
        <v>210</v>
      </c>
      <c r="F22" s="16" t="str">
        <f t="shared" si="1"/>
        <v>COMPUTED_VALUE</v>
      </c>
      <c r="G22" s="16"/>
    </row>
    <row r="23" ht="15.75" customHeight="1">
      <c r="A23" s="16" t="s">
        <v>211</v>
      </c>
      <c r="F23" s="16" t="str">
        <f t="shared" si="1"/>
        <v>COMPUTED_VALUE</v>
      </c>
      <c r="G23" s="16"/>
    </row>
    <row r="24" ht="15.75" customHeight="1">
      <c r="A24" s="16" t="s">
        <v>212</v>
      </c>
      <c r="F24" s="16" t="str">
        <f t="shared" si="1"/>
        <v>COMPUTED_VALUE</v>
      </c>
      <c r="G24" s="16"/>
    </row>
    <row r="25" ht="15.75" customHeight="1">
      <c r="A25" s="16" t="s">
        <v>213</v>
      </c>
      <c r="F25" s="16" t="str">
        <f t="shared" si="1"/>
        <v>COMPUTED_VALUE</v>
      </c>
      <c r="G25" s="16" t="str">
        <f t="shared" ref="G25:G27" si="2">"COMPUTED_VALUE"</f>
        <v>COMPUTED_VALUE</v>
      </c>
    </row>
    <row r="26" ht="15.75" customHeight="1">
      <c r="A26" s="16" t="s">
        <v>214</v>
      </c>
      <c r="F26" s="16" t="str">
        <f t="shared" si="1"/>
        <v>COMPUTED_VALUE</v>
      </c>
      <c r="G26" s="16" t="str">
        <f t="shared" si="2"/>
        <v>COMPUTED_VALUE</v>
      </c>
    </row>
    <row r="27" ht="15.75" customHeight="1">
      <c r="A27" s="16" t="s">
        <v>215</v>
      </c>
      <c r="F27" s="16" t="str">
        <f t="shared" si="1"/>
        <v>COMPUTED_VALUE</v>
      </c>
      <c r="G27" s="16" t="str">
        <f t="shared" si="2"/>
        <v>COMPUTED_VALUE</v>
      </c>
    </row>
    <row r="28" ht="15.75" customHeight="1">
      <c r="A28" s="16" t="s">
        <v>216</v>
      </c>
      <c r="F28" s="16" t="str">
        <f t="shared" si="1"/>
        <v>COMPUTED_VALUE</v>
      </c>
      <c r="G28" s="16"/>
    </row>
    <row r="29" ht="15.75" customHeight="1">
      <c r="A29" s="16" t="s">
        <v>217</v>
      </c>
      <c r="F29" s="16" t="str">
        <f t="shared" si="1"/>
        <v>COMPUTED_VALUE</v>
      </c>
      <c r="G29" s="16" t="str">
        <f t="shared" ref="G29:G34" si="3">"COMPUTED_VALUE"</f>
        <v>COMPUTED_VALUE</v>
      </c>
    </row>
    <row r="30" ht="15.75" customHeight="1">
      <c r="A30" s="16" t="s">
        <v>218</v>
      </c>
      <c r="F30" s="16" t="str">
        <f t="shared" si="1"/>
        <v>COMPUTED_VALUE</v>
      </c>
      <c r="G30" s="16" t="str">
        <f t="shared" si="3"/>
        <v>COMPUTED_VALUE</v>
      </c>
    </row>
    <row r="31" ht="15.75" customHeight="1">
      <c r="A31" s="16" t="s">
        <v>219</v>
      </c>
      <c r="F31" s="16" t="str">
        <f t="shared" si="1"/>
        <v>COMPUTED_VALUE</v>
      </c>
      <c r="G31" s="16" t="str">
        <f t="shared" si="3"/>
        <v>COMPUTED_VALUE</v>
      </c>
    </row>
    <row r="32" ht="15.75" customHeight="1">
      <c r="A32" s="16" t="s">
        <v>220</v>
      </c>
      <c r="F32" s="16" t="str">
        <f t="shared" si="1"/>
        <v>COMPUTED_VALUE</v>
      </c>
      <c r="G32" s="16" t="str">
        <f t="shared" si="3"/>
        <v>COMPUTED_VALUE</v>
      </c>
    </row>
    <row r="33" ht="15.75" customHeight="1">
      <c r="A33" s="16" t="s">
        <v>221</v>
      </c>
      <c r="F33" s="16" t="str">
        <f t="shared" si="1"/>
        <v>COMPUTED_VALUE</v>
      </c>
      <c r="G33" s="16" t="str">
        <f t="shared" si="3"/>
        <v>COMPUTED_VALUE</v>
      </c>
    </row>
    <row r="34" ht="15.75" customHeight="1">
      <c r="A34" s="16" t="s">
        <v>222</v>
      </c>
      <c r="F34" s="16" t="str">
        <f t="shared" si="1"/>
        <v>COMPUTED_VALUE</v>
      </c>
      <c r="G34" s="16" t="str">
        <f t="shared" si="3"/>
        <v>COMPUTED_VALUE</v>
      </c>
    </row>
    <row r="35" ht="15.75" customHeight="1">
      <c r="A35" s="16" t="s">
        <v>223</v>
      </c>
      <c r="F35" s="16" t="str">
        <f t="shared" si="1"/>
        <v>COMPUTED_VALUE</v>
      </c>
      <c r="G35" s="16"/>
    </row>
    <row r="36" ht="15.75" customHeight="1">
      <c r="A36" s="16" t="s">
        <v>224</v>
      </c>
      <c r="F36" s="16" t="str">
        <f t="shared" si="1"/>
        <v>COMPUTED_VALUE</v>
      </c>
      <c r="G36" s="16"/>
    </row>
    <row r="37" ht="15.75" customHeight="1">
      <c r="A37" s="16" t="s">
        <v>225</v>
      </c>
      <c r="F37" s="16" t="str">
        <f t="shared" si="1"/>
        <v>COMPUTED_VALUE</v>
      </c>
      <c r="G37" s="16" t="str">
        <f t="shared" ref="G37:G46" si="4">"COMPUTED_VALUE"</f>
        <v>COMPUTED_VALUE</v>
      </c>
    </row>
    <row r="38" ht="15.75" customHeight="1">
      <c r="A38" s="16" t="s">
        <v>226</v>
      </c>
      <c r="F38" s="16" t="str">
        <f t="shared" si="1"/>
        <v>COMPUTED_VALUE</v>
      </c>
      <c r="G38" s="16" t="str">
        <f t="shared" si="4"/>
        <v>COMPUTED_VALUE</v>
      </c>
    </row>
    <row r="39" ht="15.75" customHeight="1">
      <c r="A39" s="16" t="s">
        <v>227</v>
      </c>
      <c r="F39" s="16" t="str">
        <f t="shared" si="1"/>
        <v>COMPUTED_VALUE</v>
      </c>
      <c r="G39" s="16" t="str">
        <f t="shared" si="4"/>
        <v>COMPUTED_VALUE</v>
      </c>
    </row>
    <row r="40" ht="15.75" customHeight="1">
      <c r="A40" s="16" t="s">
        <v>228</v>
      </c>
      <c r="F40" s="16" t="str">
        <f t="shared" si="1"/>
        <v>COMPUTED_VALUE</v>
      </c>
      <c r="G40" s="16" t="str">
        <f t="shared" si="4"/>
        <v>COMPUTED_VALUE</v>
      </c>
    </row>
    <row r="41" ht="15.75" customHeight="1">
      <c r="A41" s="16" t="s">
        <v>229</v>
      </c>
      <c r="F41" s="16" t="str">
        <f t="shared" si="1"/>
        <v>COMPUTED_VALUE</v>
      </c>
      <c r="G41" s="16" t="str">
        <f t="shared" si="4"/>
        <v>COMPUTED_VALUE</v>
      </c>
    </row>
    <row r="42" ht="15.75" customHeight="1">
      <c r="A42" s="16" t="s">
        <v>230</v>
      </c>
      <c r="F42" s="16" t="str">
        <f t="shared" si="1"/>
        <v>COMPUTED_VALUE</v>
      </c>
      <c r="G42" s="16" t="str">
        <f t="shared" si="4"/>
        <v>COMPUTED_VALUE</v>
      </c>
    </row>
    <row r="43" ht="15.75" customHeight="1">
      <c r="A43" s="16" t="s">
        <v>231</v>
      </c>
      <c r="F43" s="16" t="str">
        <f t="shared" si="1"/>
        <v>COMPUTED_VALUE</v>
      </c>
      <c r="G43" s="16" t="str">
        <f t="shared" si="4"/>
        <v>COMPUTED_VALUE</v>
      </c>
    </row>
    <row r="44" ht="15.75" customHeight="1">
      <c r="A44" s="16" t="s">
        <v>232</v>
      </c>
      <c r="F44" s="16" t="str">
        <f t="shared" si="1"/>
        <v>COMPUTED_VALUE</v>
      </c>
      <c r="G44" s="16" t="str">
        <f t="shared" si="4"/>
        <v>COMPUTED_VALUE</v>
      </c>
    </row>
    <row r="45" ht="15.75" customHeight="1">
      <c r="A45" s="16" t="s">
        <v>233</v>
      </c>
      <c r="F45" s="16" t="str">
        <f t="shared" si="1"/>
        <v>COMPUTED_VALUE</v>
      </c>
      <c r="G45" s="16" t="str">
        <f t="shared" si="4"/>
        <v>COMPUTED_VALUE</v>
      </c>
    </row>
    <row r="46" ht="15.75" customHeight="1">
      <c r="A46" s="16" t="s">
        <v>234</v>
      </c>
      <c r="F46" s="16" t="str">
        <f t="shared" si="1"/>
        <v>COMPUTED_VALUE</v>
      </c>
      <c r="G46" s="16" t="str">
        <f t="shared" si="4"/>
        <v>COMPUTED_VALUE</v>
      </c>
    </row>
    <row r="47" ht="15.75" customHeight="1">
      <c r="A47" s="16" t="s">
        <v>235</v>
      </c>
      <c r="F47" s="16" t="str">
        <f t="shared" si="1"/>
        <v>COMPUTED_VALUE</v>
      </c>
      <c r="G47" s="16"/>
    </row>
    <row r="48" ht="15.75" customHeight="1">
      <c r="A48" s="16" t="s">
        <v>236</v>
      </c>
      <c r="F48" s="16" t="str">
        <f t="shared" si="1"/>
        <v>COMPUTED_VALUE</v>
      </c>
      <c r="G48" s="16"/>
    </row>
    <row r="49" ht="15.75" customHeight="1">
      <c r="A49" s="16" t="s">
        <v>237</v>
      </c>
      <c r="F49" s="16" t="str">
        <f t="shared" si="1"/>
        <v>COMPUTED_VALUE</v>
      </c>
      <c r="G49" s="16" t="str">
        <f t="shared" ref="G49:G57" si="5">"COMPUTED_VALUE"</f>
        <v>COMPUTED_VALUE</v>
      </c>
    </row>
    <row r="50" ht="15.75" customHeight="1">
      <c r="A50" s="16" t="s">
        <v>238</v>
      </c>
      <c r="F50" s="16" t="str">
        <f t="shared" si="1"/>
        <v>COMPUTED_VALUE</v>
      </c>
      <c r="G50" s="16" t="str">
        <f t="shared" si="5"/>
        <v>COMPUTED_VALUE</v>
      </c>
    </row>
    <row r="51" ht="15.75" customHeight="1">
      <c r="A51" s="16" t="s">
        <v>239</v>
      </c>
      <c r="F51" s="16" t="str">
        <f t="shared" si="1"/>
        <v>COMPUTED_VALUE</v>
      </c>
      <c r="G51" s="16" t="str">
        <f t="shared" si="5"/>
        <v>COMPUTED_VALUE</v>
      </c>
    </row>
    <row r="52" ht="15.75" customHeight="1">
      <c r="A52" s="16" t="s">
        <v>240</v>
      </c>
      <c r="F52" s="16" t="str">
        <f t="shared" si="1"/>
        <v>COMPUTED_VALUE</v>
      </c>
      <c r="G52" s="16" t="str">
        <f t="shared" si="5"/>
        <v>COMPUTED_VALUE</v>
      </c>
    </row>
    <row r="53" ht="15.75" customHeight="1">
      <c r="A53" s="16" t="s">
        <v>241</v>
      </c>
      <c r="F53" s="16" t="str">
        <f t="shared" si="1"/>
        <v>COMPUTED_VALUE</v>
      </c>
      <c r="G53" s="16" t="str">
        <f t="shared" si="5"/>
        <v>COMPUTED_VALUE</v>
      </c>
    </row>
    <row r="54" ht="15.75" customHeight="1">
      <c r="A54" s="16" t="s">
        <v>242</v>
      </c>
      <c r="F54" s="16" t="str">
        <f t="shared" si="1"/>
        <v>COMPUTED_VALUE</v>
      </c>
      <c r="G54" s="16" t="str">
        <f t="shared" si="5"/>
        <v>COMPUTED_VALUE</v>
      </c>
    </row>
    <row r="55" ht="15.75" customHeight="1">
      <c r="A55" s="16" t="s">
        <v>243</v>
      </c>
      <c r="F55" s="16" t="str">
        <f t="shared" si="1"/>
        <v>COMPUTED_VALUE</v>
      </c>
      <c r="G55" s="16" t="str">
        <f t="shared" si="5"/>
        <v>COMPUTED_VALUE</v>
      </c>
    </row>
    <row r="56" ht="15.75" customHeight="1">
      <c r="A56" s="16" t="s">
        <v>244</v>
      </c>
      <c r="F56" s="16" t="str">
        <f t="shared" si="1"/>
        <v>COMPUTED_VALUE</v>
      </c>
      <c r="G56" s="16" t="str">
        <f t="shared" si="5"/>
        <v>COMPUTED_VALUE</v>
      </c>
    </row>
    <row r="57" ht="15.75" customHeight="1">
      <c r="A57" s="16" t="s">
        <v>245</v>
      </c>
      <c r="F57" s="16" t="str">
        <f t="shared" si="1"/>
        <v>COMPUTED_VALUE</v>
      </c>
      <c r="G57" s="16" t="str">
        <f t="shared" si="5"/>
        <v>COMPUTED_VALUE</v>
      </c>
    </row>
    <row r="58" ht="15.75" customHeight="1">
      <c r="A58" s="16" t="s">
        <v>246</v>
      </c>
      <c r="F58" s="16" t="str">
        <f t="shared" si="1"/>
        <v>COMPUTED_VALUE</v>
      </c>
      <c r="G58" s="16"/>
    </row>
    <row r="59" ht="15.75" customHeight="1">
      <c r="A59" s="16" t="s">
        <v>247</v>
      </c>
      <c r="F59" s="16" t="str">
        <f t="shared" si="1"/>
        <v>COMPUTED_VALUE</v>
      </c>
      <c r="G59" s="16" t="str">
        <f t="shared" ref="G59:G65" si="6">"COMPUTED_VALUE"</f>
        <v>COMPUTED_VALUE</v>
      </c>
    </row>
    <row r="60" ht="15.75" customHeight="1">
      <c r="A60" s="16" t="s">
        <v>248</v>
      </c>
      <c r="F60" s="16" t="str">
        <f t="shared" si="1"/>
        <v>COMPUTED_VALUE</v>
      </c>
      <c r="G60" s="16" t="str">
        <f t="shared" si="6"/>
        <v>COMPUTED_VALUE</v>
      </c>
    </row>
    <row r="61" ht="15.75" customHeight="1">
      <c r="A61" s="16" t="s">
        <v>249</v>
      </c>
      <c r="F61" s="16" t="str">
        <f t="shared" si="1"/>
        <v>COMPUTED_VALUE</v>
      </c>
      <c r="G61" s="16" t="str">
        <f t="shared" si="6"/>
        <v>COMPUTED_VALUE</v>
      </c>
    </row>
    <row r="62" ht="15.75" customHeight="1">
      <c r="A62" s="16" t="s">
        <v>250</v>
      </c>
      <c r="F62" s="16" t="str">
        <f t="shared" si="1"/>
        <v>COMPUTED_VALUE</v>
      </c>
      <c r="G62" s="16" t="str">
        <f t="shared" si="6"/>
        <v>COMPUTED_VALUE</v>
      </c>
    </row>
    <row r="63" ht="15.75" customHeight="1">
      <c r="A63" s="16" t="s">
        <v>251</v>
      </c>
      <c r="F63" s="16" t="str">
        <f t="shared" si="1"/>
        <v>COMPUTED_VALUE</v>
      </c>
      <c r="G63" s="16" t="str">
        <f t="shared" si="6"/>
        <v>COMPUTED_VALUE</v>
      </c>
    </row>
    <row r="64" ht="15.75" customHeight="1">
      <c r="A64" s="16" t="s">
        <v>252</v>
      </c>
      <c r="F64" s="16" t="str">
        <f t="shared" si="1"/>
        <v>COMPUTED_VALUE</v>
      </c>
      <c r="G64" s="16" t="str">
        <f t="shared" si="6"/>
        <v>COMPUTED_VALUE</v>
      </c>
    </row>
    <row r="65" ht="15.75" customHeight="1">
      <c r="A65" s="16" t="s">
        <v>253</v>
      </c>
      <c r="F65" s="16" t="str">
        <f t="shared" si="1"/>
        <v>COMPUTED_VALUE</v>
      </c>
      <c r="G65" s="16" t="str">
        <f t="shared" si="6"/>
        <v>COMPUTED_VALUE</v>
      </c>
    </row>
    <row r="66" ht="15.75" customHeight="1">
      <c r="A66" s="16" t="s">
        <v>254</v>
      </c>
      <c r="F66" s="16" t="str">
        <f t="shared" si="1"/>
        <v>COMPUTED_VALUE</v>
      </c>
      <c r="G66" s="16"/>
    </row>
    <row r="67" ht="15.75" customHeight="1">
      <c r="A67" s="16" t="s">
        <v>255</v>
      </c>
      <c r="F67" s="16" t="str">
        <f t="shared" si="1"/>
        <v>COMPUTED_VALUE</v>
      </c>
      <c r="G67" s="16"/>
    </row>
    <row r="68" ht="15.75" customHeight="1">
      <c r="A68" s="16" t="s">
        <v>256</v>
      </c>
      <c r="F68" s="16" t="str">
        <f t="shared" si="1"/>
        <v>COMPUTED_VALUE</v>
      </c>
      <c r="G68" s="16"/>
    </row>
    <row r="69" ht="15.75" customHeight="1">
      <c r="A69" s="16" t="s">
        <v>257</v>
      </c>
      <c r="F69" s="16" t="str">
        <f t="shared" si="1"/>
        <v>COMPUTED_VALUE</v>
      </c>
      <c r="G69" s="16"/>
    </row>
    <row r="70" ht="15.75" customHeight="1">
      <c r="A70" s="16" t="s">
        <v>258</v>
      </c>
      <c r="F70" s="16" t="str">
        <f t="shared" si="1"/>
        <v>COMPUTED_VALUE</v>
      </c>
      <c r="G70" s="16"/>
    </row>
    <row r="71" ht="15.75" customHeight="1">
      <c r="A71" s="16" t="s">
        <v>259</v>
      </c>
      <c r="F71" s="16" t="str">
        <f t="shared" si="1"/>
        <v>COMPUTED_VALUE</v>
      </c>
      <c r="G71" s="16"/>
    </row>
    <row r="72" ht="15.75" customHeight="1">
      <c r="A72" s="16" t="s">
        <v>260</v>
      </c>
      <c r="F72" s="16" t="str">
        <f t="shared" si="1"/>
        <v>COMPUTED_VALUE</v>
      </c>
      <c r="G72" s="16"/>
    </row>
    <row r="73" ht="15.75" customHeight="1">
      <c r="A73" s="16" t="s">
        <v>261</v>
      </c>
      <c r="F73" s="16" t="str">
        <f t="shared" si="1"/>
        <v>COMPUTED_VALUE</v>
      </c>
      <c r="G73" s="16"/>
    </row>
    <row r="74" ht="15.75" customHeight="1">
      <c r="A74" s="16" t="s">
        <v>262</v>
      </c>
      <c r="F74" s="16" t="str">
        <f t="shared" si="1"/>
        <v>COMPUTED_VALUE</v>
      </c>
      <c r="G74" s="16"/>
    </row>
    <row r="75" ht="15.75" customHeight="1">
      <c r="A75" s="16" t="s">
        <v>263</v>
      </c>
      <c r="F75" s="16" t="str">
        <f t="shared" si="1"/>
        <v>COMPUTED_VALUE</v>
      </c>
      <c r="G75" s="16"/>
    </row>
    <row r="76" ht="15.75" customHeight="1">
      <c r="A76" s="16" t="s">
        <v>264</v>
      </c>
      <c r="F76" s="16" t="str">
        <f t="shared" si="1"/>
        <v>COMPUTED_VALUE</v>
      </c>
      <c r="G76" s="16"/>
    </row>
    <row r="77" ht="15.75" customHeight="1">
      <c r="A77" s="16" t="s">
        <v>265</v>
      </c>
      <c r="F77" s="16" t="str">
        <f t="shared" si="1"/>
        <v>COMPUTED_VALUE</v>
      </c>
      <c r="G77" s="16"/>
    </row>
    <row r="78" ht="15.75" customHeight="1">
      <c r="A78" s="16" t="s">
        <v>266</v>
      </c>
      <c r="F78" s="16" t="str">
        <f t="shared" si="1"/>
        <v>COMPUTED_VALUE</v>
      </c>
      <c r="G78" s="16"/>
    </row>
    <row r="79" ht="15.75" customHeight="1">
      <c r="A79" s="16" t="s">
        <v>267</v>
      </c>
      <c r="F79" s="16" t="str">
        <f t="shared" si="1"/>
        <v>COMPUTED_VALUE</v>
      </c>
      <c r="G79" s="16"/>
    </row>
    <row r="80" ht="15.75" customHeight="1">
      <c r="A80" s="16" t="s">
        <v>268</v>
      </c>
      <c r="F80" s="16" t="str">
        <f t="shared" si="1"/>
        <v>COMPUTED_VALUE</v>
      </c>
      <c r="G80" s="16"/>
    </row>
    <row r="81" ht="15.75" customHeight="1">
      <c r="A81" s="16" t="s">
        <v>269</v>
      </c>
      <c r="F81" s="16" t="str">
        <f t="shared" si="1"/>
        <v>COMPUTED_VALUE</v>
      </c>
      <c r="G81" s="16"/>
    </row>
    <row r="82" ht="15.75" customHeight="1">
      <c r="F82" s="16"/>
      <c r="G82" s="16"/>
    </row>
    <row r="83" ht="15.75" customHeight="1">
      <c r="F83" s="16"/>
      <c r="G83" s="16"/>
    </row>
    <row r="84" ht="15.75" customHeight="1">
      <c r="F84" s="16"/>
      <c r="G84" s="16"/>
    </row>
    <row r="85" ht="15.75" customHeight="1">
      <c r="F85" s="16"/>
      <c r="G85" s="16"/>
    </row>
    <row r="86" ht="15.75" customHeight="1">
      <c r="F86" s="16"/>
      <c r="G86" s="16"/>
    </row>
    <row r="87" ht="15.75" customHeight="1">
      <c r="F87" s="16"/>
      <c r="G87" s="16"/>
    </row>
    <row r="88" ht="15.75" customHeight="1">
      <c r="F88" s="16"/>
      <c r="G88" s="16"/>
    </row>
    <row r="89" ht="15.75" customHeight="1">
      <c r="F89" s="16"/>
      <c r="G89" s="16"/>
    </row>
    <row r="90" ht="15.75" customHeight="1">
      <c r="F90" s="16"/>
      <c r="G90" s="16"/>
    </row>
    <row r="91" ht="15.75" customHeight="1">
      <c r="F91" s="16"/>
      <c r="G91" s="16"/>
    </row>
    <row r="92" ht="15.75" customHeight="1">
      <c r="F92" s="16"/>
      <c r="G92" s="16"/>
    </row>
    <row r="93" ht="15.75" customHeight="1">
      <c r="F93" s="16"/>
      <c r="G93" s="16"/>
    </row>
    <row r="94" ht="15.75" customHeight="1">
      <c r="F94" s="16"/>
      <c r="G94" s="16"/>
    </row>
    <row r="95" ht="15.75" customHeight="1">
      <c r="F95" s="16"/>
      <c r="G95" s="16"/>
    </row>
    <row r="96" ht="15.75" customHeight="1">
      <c r="F96" s="16"/>
      <c r="G96" s="16"/>
    </row>
    <row r="97" ht="15.75" customHeight="1">
      <c r="F97" s="16"/>
      <c r="G97" s="16"/>
    </row>
    <row r="98" ht="15.75" customHeight="1">
      <c r="F98" s="16"/>
      <c r="G98" s="16"/>
    </row>
    <row r="99" ht="15.75" customHeight="1">
      <c r="F99" s="16"/>
      <c r="G99" s="16"/>
    </row>
    <row r="100" ht="15.75" customHeight="1">
      <c r="F100" s="16"/>
      <c r="G100" s="16"/>
    </row>
    <row r="101" ht="15.75" customHeight="1">
      <c r="F101" s="16"/>
      <c r="G101" s="16"/>
    </row>
    <row r="102" ht="15.75" customHeight="1">
      <c r="F102" s="16"/>
      <c r="G102" s="16"/>
    </row>
    <row r="103" ht="15.75" customHeight="1">
      <c r="F103" s="16"/>
      <c r="G103" s="16"/>
    </row>
    <row r="104" ht="15.75" customHeight="1">
      <c r="F104" s="16"/>
      <c r="G104" s="16"/>
    </row>
    <row r="105" ht="15.75" customHeight="1">
      <c r="F105" s="16"/>
      <c r="G105" s="16"/>
    </row>
    <row r="106" ht="15.75" customHeight="1">
      <c r="F106" s="16"/>
      <c r="G106" s="16"/>
    </row>
    <row r="107" ht="15.75" customHeight="1">
      <c r="F107" s="16"/>
      <c r="G107" s="16"/>
    </row>
    <row r="108" ht="15.75" customHeight="1">
      <c r="F108" s="16"/>
      <c r="G108" s="16"/>
    </row>
    <row r="109" ht="15.75" customHeight="1">
      <c r="F109" s="16"/>
      <c r="G109" s="16"/>
    </row>
    <row r="110" ht="15.75" customHeight="1">
      <c r="F110" s="16"/>
      <c r="G110" s="16"/>
    </row>
    <row r="111" ht="15.75" customHeight="1">
      <c r="F111" s="16"/>
      <c r="G111" s="16"/>
    </row>
    <row r="112" ht="15.75" customHeight="1">
      <c r="F112" s="16"/>
      <c r="G112" s="16"/>
    </row>
    <row r="113" ht="15.75" customHeight="1">
      <c r="F113" s="16"/>
      <c r="G113" s="16"/>
    </row>
    <row r="114" ht="15.75" customHeight="1">
      <c r="F114" s="16"/>
      <c r="G114" s="16"/>
    </row>
    <row r="115" ht="15.75" customHeight="1">
      <c r="F115" s="16"/>
      <c r="G115" s="16"/>
    </row>
    <row r="116" ht="15.75" customHeight="1">
      <c r="F116" s="16"/>
      <c r="G116" s="16"/>
    </row>
    <row r="117" ht="15.75" customHeight="1">
      <c r="F117" s="16"/>
      <c r="G117" s="16"/>
    </row>
    <row r="118" ht="15.75" customHeight="1">
      <c r="F118" s="16"/>
      <c r="G118" s="16"/>
    </row>
    <row r="119" ht="15.75" customHeight="1">
      <c r="F119" s="16"/>
      <c r="G119" s="16"/>
    </row>
    <row r="120" ht="15.75" customHeight="1">
      <c r="F120" s="16"/>
      <c r="G120" s="16"/>
    </row>
    <row r="121" ht="15.75" customHeight="1">
      <c r="F121" s="16"/>
      <c r="G121" s="16"/>
    </row>
    <row r="122" ht="15.75" customHeight="1">
      <c r="F122" s="16"/>
      <c r="G122" s="16"/>
    </row>
    <row r="123" ht="15.75" customHeight="1">
      <c r="F123" s="16"/>
      <c r="G123" s="16"/>
    </row>
    <row r="124" ht="15.75" customHeight="1">
      <c r="F124" s="16"/>
      <c r="G124" s="16"/>
    </row>
    <row r="125" ht="15.75" customHeight="1">
      <c r="F125" s="16"/>
      <c r="G125" s="16"/>
    </row>
    <row r="126" ht="15.75" customHeight="1">
      <c r="F126" s="16"/>
      <c r="G126" s="16"/>
    </row>
    <row r="127" ht="15.75" customHeight="1">
      <c r="F127" s="16"/>
      <c r="G127" s="16"/>
    </row>
    <row r="128" ht="15.75" customHeight="1">
      <c r="F128" s="16"/>
      <c r="G128" s="16"/>
    </row>
    <row r="129" ht="15.75" customHeight="1">
      <c r="F129" s="16"/>
      <c r="G129" s="16"/>
    </row>
    <row r="130" ht="15.75" customHeight="1">
      <c r="F130" s="16"/>
      <c r="G130" s="16"/>
    </row>
    <row r="131" ht="15.75" customHeight="1">
      <c r="F131" s="16"/>
      <c r="G131" s="16"/>
    </row>
    <row r="132" ht="15.75" customHeight="1">
      <c r="F132" s="16"/>
      <c r="G132" s="16"/>
    </row>
    <row r="133" ht="15.75" customHeight="1">
      <c r="F133" s="16"/>
      <c r="G133" s="16"/>
    </row>
    <row r="134" ht="15.75" customHeight="1">
      <c r="F134" s="16"/>
      <c r="G134" s="16"/>
    </row>
    <row r="135" ht="15.75" customHeight="1">
      <c r="F135" s="16"/>
      <c r="G135" s="16"/>
    </row>
    <row r="136" ht="15.75" customHeight="1">
      <c r="F136" s="16"/>
      <c r="G136" s="16"/>
    </row>
    <row r="137" ht="15.75" customHeight="1">
      <c r="F137" s="16"/>
      <c r="G137" s="16"/>
    </row>
    <row r="138" ht="15.75" customHeight="1">
      <c r="F138" s="16"/>
      <c r="G138" s="16"/>
    </row>
    <row r="139" ht="15.75" customHeight="1">
      <c r="F139" s="16"/>
      <c r="G139" s="16"/>
    </row>
    <row r="140" ht="15.75" customHeight="1">
      <c r="F140" s="16"/>
      <c r="G140" s="16"/>
    </row>
    <row r="141" ht="15.75" customHeight="1">
      <c r="F141" s="16"/>
      <c r="G141" s="16"/>
    </row>
    <row r="142" ht="15.75" customHeight="1">
      <c r="F142" s="16"/>
      <c r="G142" s="16"/>
    </row>
    <row r="143" ht="15.75" customHeight="1">
      <c r="F143" s="16"/>
      <c r="G143" s="16"/>
    </row>
    <row r="144" ht="15.75" customHeight="1">
      <c r="F144" s="16"/>
      <c r="G144" s="16"/>
    </row>
    <row r="145" ht="15.75" customHeight="1">
      <c r="F145" s="16"/>
      <c r="G145" s="16"/>
    </row>
    <row r="146" ht="15.75" customHeight="1">
      <c r="F146" s="16"/>
      <c r="G146" s="16"/>
    </row>
    <row r="147" ht="15.75" customHeight="1">
      <c r="F147" s="16"/>
      <c r="G147" s="16"/>
    </row>
    <row r="148" ht="15.75" customHeight="1">
      <c r="F148" s="16"/>
      <c r="G148" s="16"/>
    </row>
    <row r="149" ht="15.75" customHeight="1">
      <c r="F149" s="16"/>
      <c r="G149" s="16"/>
    </row>
    <row r="150" ht="15.75" customHeight="1">
      <c r="F150" s="16"/>
      <c r="G150" s="16"/>
    </row>
    <row r="151" ht="15.75" customHeight="1">
      <c r="F151" s="16"/>
      <c r="G151" s="16"/>
    </row>
    <row r="152" ht="15.75" customHeight="1">
      <c r="F152" s="16"/>
      <c r="G152" s="16"/>
    </row>
    <row r="153" ht="15.75" customHeight="1">
      <c r="F153" s="16"/>
      <c r="G153" s="16"/>
    </row>
    <row r="154" ht="15.75" customHeight="1">
      <c r="F154" s="16"/>
      <c r="G154" s="16"/>
    </row>
    <row r="155" ht="15.75" customHeight="1">
      <c r="F155" s="16"/>
      <c r="G155" s="16"/>
    </row>
    <row r="156" ht="15.75" customHeight="1">
      <c r="F156" s="16"/>
      <c r="G156" s="16"/>
    </row>
    <row r="157" ht="15.75" customHeight="1">
      <c r="F157" s="16"/>
      <c r="G157" s="16"/>
    </row>
    <row r="158" ht="15.75" customHeight="1">
      <c r="F158" s="16"/>
      <c r="G158" s="16"/>
    </row>
    <row r="159" ht="15.75" customHeight="1">
      <c r="F159" s="16"/>
      <c r="G159" s="16"/>
    </row>
    <row r="160" ht="15.75" customHeight="1">
      <c r="F160" s="16"/>
      <c r="G160" s="16"/>
    </row>
    <row r="161" ht="15.75" customHeight="1">
      <c r="F161" s="16"/>
      <c r="G161" s="16"/>
    </row>
    <row r="162" ht="15.75" customHeight="1">
      <c r="F162" s="16"/>
      <c r="G162" s="16"/>
    </row>
    <row r="163" ht="15.75" customHeight="1">
      <c r="F163" s="16"/>
      <c r="G163" s="16"/>
    </row>
    <row r="164" ht="15.75" customHeight="1">
      <c r="F164" s="16"/>
      <c r="G164" s="16"/>
    </row>
    <row r="165" ht="15.75" customHeight="1">
      <c r="F165" s="16"/>
      <c r="G165" s="16"/>
    </row>
    <row r="166" ht="15.75" customHeight="1">
      <c r="F166" s="16"/>
      <c r="G166" s="16"/>
    </row>
    <row r="167" ht="15.75" customHeight="1">
      <c r="F167" s="16"/>
      <c r="G167" s="16"/>
    </row>
    <row r="168" ht="15.75" customHeight="1">
      <c r="F168" s="16"/>
      <c r="G168" s="16"/>
    </row>
    <row r="169" ht="15.75" customHeight="1">
      <c r="F169" s="16"/>
      <c r="G169" s="16"/>
    </row>
    <row r="170" ht="15.75" customHeight="1">
      <c r="F170" s="16"/>
      <c r="G170" s="16"/>
    </row>
    <row r="171" ht="15.75" customHeight="1">
      <c r="F171" s="16"/>
      <c r="G171" s="16"/>
    </row>
    <row r="172" ht="15.75" customHeight="1">
      <c r="F172" s="16"/>
      <c r="G172" s="16"/>
    </row>
    <row r="173" ht="15.75" customHeight="1">
      <c r="F173" s="16"/>
      <c r="G173" s="16"/>
    </row>
    <row r="174" ht="15.75" customHeight="1">
      <c r="F174" s="16"/>
      <c r="G174" s="16"/>
    </row>
    <row r="175" ht="15.75" customHeight="1">
      <c r="F175" s="16"/>
      <c r="G175" s="16"/>
    </row>
    <row r="176" ht="15.75" customHeight="1">
      <c r="F176" s="16"/>
      <c r="G176" s="16"/>
    </row>
    <row r="177" ht="15.75" customHeight="1">
      <c r="F177" s="16"/>
      <c r="G177" s="16"/>
    </row>
    <row r="178" ht="15.75" customHeight="1">
      <c r="F178" s="16"/>
      <c r="G178" s="16"/>
    </row>
    <row r="179" ht="15.75" customHeight="1">
      <c r="F179" s="16"/>
      <c r="G179" s="16"/>
    </row>
    <row r="180" ht="15.75" customHeight="1">
      <c r="F180" s="16"/>
      <c r="G180" s="16"/>
    </row>
    <row r="181" ht="15.75" customHeight="1">
      <c r="F181" s="16"/>
      <c r="G181" s="16"/>
    </row>
    <row r="182" ht="15.75" customHeight="1">
      <c r="F182" s="16"/>
      <c r="G182" s="16"/>
    </row>
    <row r="183" ht="15.75" customHeight="1">
      <c r="F183" s="16"/>
      <c r="G183" s="16"/>
    </row>
    <row r="184" ht="15.75" customHeight="1">
      <c r="F184" s="16"/>
      <c r="G184" s="16"/>
    </row>
    <row r="185" ht="15.75" customHeight="1">
      <c r="F185" s="16"/>
      <c r="G185" s="16"/>
    </row>
    <row r="186" ht="15.75" customHeight="1">
      <c r="F186" s="16"/>
      <c r="G186" s="16"/>
    </row>
    <row r="187" ht="15.75" customHeight="1">
      <c r="F187" s="16"/>
      <c r="G187" s="16"/>
    </row>
    <row r="188" ht="15.75" customHeight="1">
      <c r="F188" s="16"/>
      <c r="G188" s="16"/>
    </row>
    <row r="189" ht="15.75" customHeight="1">
      <c r="F189" s="16"/>
      <c r="G189" s="16"/>
    </row>
    <row r="190" ht="15.75" customHeight="1">
      <c r="F190" s="16"/>
      <c r="G190" s="16"/>
    </row>
    <row r="191" ht="15.75" customHeight="1">
      <c r="F191" s="16"/>
      <c r="G191" s="16"/>
    </row>
    <row r="192" ht="15.75" customHeight="1">
      <c r="F192" s="16"/>
      <c r="G192" s="16"/>
    </row>
    <row r="193" ht="15.75" customHeight="1">
      <c r="F193" s="16"/>
      <c r="G193" s="16"/>
    </row>
    <row r="194" ht="15.75" customHeight="1">
      <c r="F194" s="16"/>
      <c r="G194" s="16"/>
    </row>
    <row r="195" ht="15.75" customHeight="1">
      <c r="F195" s="16"/>
      <c r="G195" s="16"/>
    </row>
    <row r="196" ht="15.75" customHeight="1">
      <c r="F196" s="16"/>
      <c r="G196" s="16"/>
    </row>
    <row r="197" ht="15.75" customHeight="1">
      <c r="F197" s="16"/>
      <c r="G197" s="16"/>
    </row>
    <row r="198" ht="15.75" customHeight="1">
      <c r="F198" s="16"/>
      <c r="G198" s="16"/>
    </row>
    <row r="199" ht="15.75" customHeight="1">
      <c r="F199" s="16"/>
      <c r="G199" s="16"/>
    </row>
    <row r="200" ht="15.75" customHeight="1">
      <c r="F200" s="16"/>
      <c r="G200" s="16"/>
    </row>
    <row r="201" ht="15.75" customHeight="1">
      <c r="F201" s="16"/>
      <c r="G201" s="16"/>
    </row>
    <row r="202" ht="15.75" customHeight="1">
      <c r="F202" s="16"/>
      <c r="G202" s="16"/>
    </row>
    <row r="203" ht="15.75" customHeight="1">
      <c r="F203" s="16"/>
      <c r="G203" s="16"/>
    </row>
    <row r="204" ht="15.75" customHeight="1">
      <c r="F204" s="16"/>
      <c r="G204" s="16"/>
    </row>
    <row r="205" ht="15.75" customHeight="1">
      <c r="F205" s="16"/>
      <c r="G205" s="16"/>
    </row>
    <row r="206" ht="15.75" customHeight="1">
      <c r="F206" s="16"/>
      <c r="G206" s="16"/>
    </row>
    <row r="207" ht="15.75" customHeight="1">
      <c r="F207" s="16"/>
      <c r="G207" s="16"/>
    </row>
    <row r="208" ht="15.75" customHeight="1">
      <c r="F208" s="16"/>
      <c r="G208" s="16"/>
    </row>
    <row r="209" ht="15.75" customHeight="1">
      <c r="F209" s="16"/>
      <c r="G209" s="16"/>
    </row>
    <row r="210" ht="15.75" customHeight="1">
      <c r="F210" s="16"/>
      <c r="G210" s="16"/>
    </row>
    <row r="211" ht="15.75" customHeight="1">
      <c r="F211" s="16"/>
      <c r="G211" s="16"/>
    </row>
    <row r="212" ht="15.75" customHeight="1">
      <c r="F212" s="16"/>
      <c r="G212" s="16"/>
    </row>
    <row r="213" ht="15.75" customHeight="1">
      <c r="F213" s="16"/>
      <c r="G213" s="16"/>
    </row>
    <row r="214" ht="15.75" customHeight="1">
      <c r="F214" s="16"/>
      <c r="G214" s="16"/>
    </row>
    <row r="215" ht="15.75" customHeight="1">
      <c r="F215" s="16"/>
      <c r="G215" s="16"/>
    </row>
    <row r="216" ht="15.75" customHeight="1">
      <c r="F216" s="16"/>
      <c r="G216" s="16"/>
    </row>
    <row r="217" ht="15.75" customHeight="1">
      <c r="F217" s="16"/>
      <c r="G217" s="16"/>
    </row>
    <row r="218" ht="15.75" customHeight="1">
      <c r="F218" s="16"/>
      <c r="G218" s="16"/>
    </row>
    <row r="219" ht="15.75" customHeight="1">
      <c r="F219" s="16"/>
      <c r="G219" s="16"/>
    </row>
    <row r="220" ht="15.75" customHeight="1">
      <c r="F220" s="16"/>
      <c r="G220" s="16"/>
    </row>
    <row r="221" ht="15.75" customHeight="1">
      <c r="F221" s="16"/>
      <c r="G221" s="16"/>
    </row>
    <row r="222" ht="15.75" customHeight="1">
      <c r="F222" s="16"/>
      <c r="G222" s="16"/>
    </row>
    <row r="223" ht="15.75" customHeight="1">
      <c r="F223" s="16"/>
      <c r="G223" s="16"/>
    </row>
    <row r="224" ht="15.75" customHeight="1">
      <c r="F224" s="16"/>
      <c r="G224" s="16"/>
    </row>
    <row r="225" ht="15.75" customHeight="1">
      <c r="F225" s="16"/>
      <c r="G225" s="16"/>
    </row>
    <row r="226" ht="15.75" customHeight="1">
      <c r="F226" s="16"/>
      <c r="G226" s="16"/>
    </row>
    <row r="227" ht="15.75" customHeight="1">
      <c r="F227" s="16"/>
      <c r="G227" s="16"/>
    </row>
    <row r="228" ht="15.75" customHeight="1">
      <c r="F228" s="16"/>
      <c r="G228" s="16"/>
    </row>
    <row r="229" ht="15.75" customHeight="1">
      <c r="F229" s="16"/>
      <c r="G229" s="16"/>
    </row>
    <row r="230" ht="15.75" customHeight="1">
      <c r="F230" s="16"/>
      <c r="G230" s="16"/>
    </row>
    <row r="231" ht="15.75" customHeight="1">
      <c r="F231" s="16"/>
      <c r="G231" s="16"/>
    </row>
    <row r="232" ht="15.75" customHeight="1">
      <c r="F232" s="16"/>
      <c r="G232" s="16"/>
    </row>
    <row r="233" ht="15.75" customHeight="1">
      <c r="F233" s="16"/>
      <c r="G233" s="16"/>
    </row>
    <row r="234" ht="15.75" customHeight="1">
      <c r="F234" s="16"/>
      <c r="G234" s="16"/>
    </row>
    <row r="235" ht="15.75" customHeight="1">
      <c r="F235" s="16"/>
      <c r="G235" s="16"/>
    </row>
    <row r="236" ht="15.75" customHeight="1">
      <c r="F236" s="16"/>
      <c r="G236" s="16"/>
    </row>
    <row r="237" ht="15.75" customHeight="1">
      <c r="F237" s="16"/>
      <c r="G237" s="16"/>
    </row>
    <row r="238" ht="15.75" customHeight="1">
      <c r="F238" s="16"/>
      <c r="G238" s="16"/>
    </row>
    <row r="239" ht="15.75" customHeight="1">
      <c r="F239" s="16"/>
      <c r="G239" s="16"/>
    </row>
    <row r="240" ht="15.75" customHeight="1">
      <c r="F240" s="16"/>
      <c r="G240" s="16"/>
    </row>
    <row r="241" ht="15.75" customHeight="1">
      <c r="F241" s="16"/>
      <c r="G241" s="16"/>
    </row>
    <row r="242" ht="15.75" customHeight="1">
      <c r="F242" s="16"/>
      <c r="G242" s="16"/>
    </row>
    <row r="243" ht="15.75" customHeight="1">
      <c r="F243" s="16"/>
      <c r="G243" s="16"/>
    </row>
    <row r="244" ht="15.75" customHeight="1">
      <c r="F244" s="16"/>
      <c r="G244" s="16"/>
    </row>
    <row r="245" ht="15.75" customHeight="1">
      <c r="F245" s="16"/>
      <c r="G245" s="16"/>
    </row>
    <row r="246" ht="15.75" customHeight="1">
      <c r="F246" s="16"/>
      <c r="G246" s="16"/>
    </row>
    <row r="247" ht="15.75" customHeight="1">
      <c r="F247" s="16"/>
      <c r="G247" s="16"/>
    </row>
    <row r="248" ht="15.75" customHeight="1">
      <c r="F248" s="16"/>
      <c r="G248" s="16"/>
    </row>
    <row r="249" ht="15.75" customHeight="1">
      <c r="F249" s="16"/>
      <c r="G249" s="16"/>
    </row>
    <row r="250" ht="15.75" customHeight="1">
      <c r="F250" s="16"/>
      <c r="G250" s="16"/>
    </row>
    <row r="251" ht="15.75" customHeight="1">
      <c r="F251" s="16"/>
      <c r="G251" s="16"/>
    </row>
    <row r="252" ht="15.75" customHeight="1">
      <c r="F252" s="16"/>
      <c r="G252" s="16"/>
    </row>
    <row r="253" ht="15.75" customHeight="1">
      <c r="F253" s="16"/>
      <c r="G253" s="16"/>
    </row>
    <row r="254" ht="15.75" customHeight="1">
      <c r="F254" s="16"/>
      <c r="G254" s="16"/>
    </row>
    <row r="255" ht="15.75" customHeight="1">
      <c r="F255" s="16"/>
      <c r="G255" s="16"/>
    </row>
    <row r="256" ht="15.75" customHeight="1">
      <c r="F256" s="16"/>
      <c r="G256" s="16"/>
    </row>
    <row r="257" ht="15.75" customHeight="1">
      <c r="F257" s="16"/>
      <c r="G257" s="16"/>
    </row>
    <row r="258" ht="15.75" customHeight="1">
      <c r="F258" s="16"/>
      <c r="G258" s="16"/>
    </row>
    <row r="259" ht="15.75" customHeight="1">
      <c r="F259" s="16"/>
      <c r="G259" s="16"/>
    </row>
    <row r="260" ht="15.75" customHeight="1">
      <c r="F260" s="16"/>
      <c r="G260" s="16"/>
    </row>
    <row r="261" ht="15.75" customHeight="1">
      <c r="F261" s="16"/>
      <c r="G261" s="16"/>
    </row>
    <row r="262" ht="15.75" customHeight="1">
      <c r="F262" s="16"/>
      <c r="G262" s="16"/>
    </row>
    <row r="263" ht="15.75" customHeight="1">
      <c r="F263" s="16"/>
      <c r="G263" s="16"/>
    </row>
    <row r="264" ht="15.75" customHeight="1">
      <c r="F264" s="16"/>
      <c r="G264" s="16"/>
    </row>
    <row r="265" ht="15.75" customHeight="1">
      <c r="F265" s="16"/>
      <c r="G265" s="16"/>
    </row>
    <row r="266" ht="15.75" customHeight="1">
      <c r="F266" s="16"/>
      <c r="G266" s="16"/>
    </row>
    <row r="267" ht="15.75" customHeight="1">
      <c r="F267" s="16"/>
      <c r="G267" s="16"/>
    </row>
    <row r="268" ht="15.75" customHeight="1">
      <c r="F268" s="16"/>
      <c r="G268" s="16"/>
    </row>
    <row r="269" ht="15.75" customHeight="1">
      <c r="F269" s="16"/>
      <c r="G269" s="16"/>
    </row>
    <row r="270" ht="15.75" customHeight="1">
      <c r="F270" s="16"/>
      <c r="G270" s="16"/>
    </row>
    <row r="271" ht="15.75" customHeight="1">
      <c r="F271" s="16"/>
      <c r="G271" s="16"/>
    </row>
    <row r="272" ht="15.75" customHeight="1">
      <c r="F272" s="16"/>
      <c r="G272" s="16"/>
    </row>
    <row r="273" ht="15.75" customHeight="1">
      <c r="F273" s="16"/>
      <c r="G273" s="16"/>
    </row>
    <row r="274" ht="15.75" customHeight="1">
      <c r="F274" s="16"/>
      <c r="G274" s="16"/>
    </row>
    <row r="275" ht="15.75" customHeight="1">
      <c r="F275" s="16"/>
      <c r="G275" s="16"/>
    </row>
    <row r="276" ht="15.75" customHeight="1">
      <c r="F276" s="16"/>
      <c r="G276" s="16"/>
    </row>
    <row r="277" ht="15.75" customHeight="1">
      <c r="F277" s="16"/>
      <c r="G277" s="16"/>
    </row>
    <row r="278" ht="15.75" customHeight="1">
      <c r="F278" s="16"/>
      <c r="G278" s="16"/>
    </row>
    <row r="279" ht="15.75" customHeight="1">
      <c r="F279" s="16"/>
      <c r="G279" s="16"/>
    </row>
    <row r="280" ht="15.75" customHeight="1">
      <c r="F280" s="16"/>
      <c r="G280" s="16"/>
    </row>
    <row r="281" ht="15.75" customHeight="1">
      <c r="F281" s="16"/>
      <c r="G281" s="16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0" customHeight="1">
      <c r="B1" s="17" t="s">
        <v>69</v>
      </c>
      <c r="C1" s="18"/>
      <c r="D1" s="18"/>
      <c r="E1" s="18"/>
      <c r="F1" s="18"/>
      <c r="G1" s="19"/>
    </row>
    <row r="2">
      <c r="B2" s="16"/>
      <c r="C2" s="16"/>
      <c r="D2" s="16"/>
      <c r="E2" s="16"/>
      <c r="F2" s="16"/>
      <c r="G2" s="16"/>
    </row>
    <row r="3">
      <c r="B3" s="3" t="s">
        <v>1</v>
      </c>
      <c r="C3" s="22" t="str">
        <f>Refentes!C3</f>
        <v>770 - Introducción a ala programación y computación 1</v>
      </c>
      <c r="D3" s="5"/>
      <c r="E3" s="5"/>
      <c r="F3" s="5"/>
      <c r="G3" s="6"/>
    </row>
    <row r="4">
      <c r="B4" s="3" t="s">
        <v>3</v>
      </c>
      <c r="C4" s="29" t="str">
        <f>Refentes!C4</f>
        <v>Primer Semestre 2027</v>
      </c>
      <c r="D4" s="5"/>
      <c r="E4" s="5"/>
      <c r="F4" s="5"/>
      <c r="G4" s="6"/>
    </row>
    <row r="5" ht="26.25" customHeight="1">
      <c r="B5" s="24" t="s">
        <v>71</v>
      </c>
    </row>
    <row r="7" ht="26.25" customHeight="1">
      <c r="B7" s="30" t="s">
        <v>270</v>
      </c>
      <c r="C7" s="31"/>
      <c r="D7" s="32"/>
      <c r="E7" s="33" t="s">
        <v>271</v>
      </c>
      <c r="F7" s="31"/>
      <c r="G7" s="32"/>
    </row>
    <row r="8">
      <c r="B8" s="34" t="s">
        <v>272</v>
      </c>
      <c r="E8" s="16" t="s">
        <v>53</v>
      </c>
    </row>
    <row r="9">
      <c r="B9" s="34" t="s">
        <v>273</v>
      </c>
      <c r="E9" s="16" t="s">
        <v>55</v>
      </c>
    </row>
    <row r="10">
      <c r="B10" s="34" t="s">
        <v>274</v>
      </c>
      <c r="E10" s="16" t="s">
        <v>67</v>
      </c>
    </row>
    <row r="11">
      <c r="B11" s="34" t="s">
        <v>275</v>
      </c>
      <c r="E11" s="16" t="s">
        <v>57</v>
      </c>
    </row>
    <row r="12">
      <c r="B12" s="34" t="s">
        <v>276</v>
      </c>
      <c r="E12" s="16" t="s">
        <v>61</v>
      </c>
    </row>
    <row r="13">
      <c r="B13" s="34" t="s">
        <v>277</v>
      </c>
      <c r="E13" s="16" t="s">
        <v>63</v>
      </c>
    </row>
    <row r="14">
      <c r="B14" s="34" t="s">
        <v>278</v>
      </c>
      <c r="E14" s="16" t="s">
        <v>65</v>
      </c>
    </row>
    <row r="15">
      <c r="B15" s="34" t="s">
        <v>279</v>
      </c>
      <c r="E15" s="16" t="s">
        <v>49</v>
      </c>
    </row>
    <row r="16">
      <c r="B16" s="34"/>
      <c r="E16" s="16"/>
    </row>
    <row r="18">
      <c r="B18" s="35" t="s">
        <v>280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Refentes!$C$50:$G$59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2026-09-17T17:15:44Z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