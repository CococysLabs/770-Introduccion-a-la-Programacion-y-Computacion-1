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Plantilla" sheetId="1" state="visible" r:id="rId3"/>
    <sheet name="202406816" sheetId="2" state="visible" r:id="rId4"/>
    <sheet name="202405048" sheetId="3" state="visible" r:id="rId5"/>
    <sheet name="202404528" sheetId="4" state="visible" r:id="rId6"/>
    <sheet name="202505830" sheetId="5" state="visible" r:id="rId7"/>
    <sheet name="202501625" sheetId="6" state="visible" r:id="rId8"/>
    <sheet name="202201204" sheetId="7" state="visible" r:id="rId9"/>
    <sheet name="202507586" sheetId="8" state="visible" r:id="rId10"/>
    <sheet name="202501349" sheetId="9" state="visible" r:id="rId11"/>
    <sheet name="202407699" sheetId="10" state="visible" r:id="rId12"/>
    <sheet name="202403338" sheetId="11" state="visible" r:id="rId13"/>
    <sheet name="202400066" sheetId="12" state="visible" r:id="rId14"/>
    <sheet name="202400155" sheetId="13" state="visible" r:id="rId15"/>
    <sheet name="Consolidado" sheetId="14" state="visible" r:id="rId16"/>
    <sheet name="Hoja15" sheetId="15" state="visible" r:id="rId17"/>
  </sheets>
  <definedNames>
    <definedName function="false" hidden="true" localSheetId="13" name="_xlnm._FilterDatabase" vbProcedure="false">Consolidado!$A$2:$Z$26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<sst xmlns="http://schemas.openxmlformats.org/spreadsheetml/2006/main" count="1539" uniqueCount="192">
  <si>
    <t xml:space="preserve">UNIVERSIDAD DE SAN CARLOS DE GUATEMALA</t>
  </si>
  <si>
    <t xml:space="preserve">FACULTAD DE INGENIERÍA</t>
  </si>
  <si>
    <t xml:space="preserve">ESCUELA DE CIENCIAS Y SISTEMAS</t>
  </si>
  <si>
    <t xml:space="preserve">Introducción a la Programación y Computación 1, Sección B</t>
  </si>
  <si>
    <t xml:space="preserve">Ing. William Estuardo Escobar Argueta</t>
  </si>
  <si>
    <t xml:space="preserve">Aux. Fernando José Vicente Velásquez</t>
  </si>
  <si>
    <t xml:space="preserve">Hoja de Calificación – Practica 2: Quetzal Space Defender - Side Scroller</t>
  </si>
  <si>
    <t xml:space="preserve">Fecha de calificación:</t>
  </si>
  <si>
    <t xml:space="preserve">Nombre del estudiante:</t>
  </si>
  <si>
    <t xml:space="preserve">Carné:</t>
  </si>
  <si>
    <t xml:space="preserve">Descripción de Ponderación</t>
  </si>
  <si>
    <t xml:space="preserve">Valor</t>
  </si>
  <si>
    <t xml:space="preserve">Observación</t>
  </si>
  <si>
    <t xml:space="preserve">Punteo</t>
  </si>
  <si>
    <t xml:space="preserve">1. HABILIDADES – CÓMO SE PROGRAMA</t>
  </si>
  <si>
    <t xml:space="preserve">1.1 Documentación</t>
  </si>
  <si>
    <t xml:space="preserve">Manual técnico detallado completo y coherente con el código</t>
  </si>
  <si>
    <t xml:space="preserve">Manual de usuario con capturas reales y guia para el usuario</t>
  </si>
  <si>
    <t xml:space="preserve">Diagramas (flujo, módulos, matriz de ubicaciones)</t>
  </si>
  <si>
    <t xml:space="preserve">Informe realizado con herramienta https://aicodedetector.org/</t>
  </si>
  <si>
    <t xml:space="preserve">1.2 Repositorio GitHub</t>
  </si>
  <si>
    <t xml:space="preserve">Formato de nombre correcto y auxiliar agregado como colaborador</t>
  </si>
  <si>
    <t xml:space="preserve">Commits progresivos, no concentrados al final</t>
  </si>
  <si>
    <t xml:space="preserve">Estructura de carpetas ordenada y proyecto compilable desde el repo</t>
  </si>
  <si>
    <t xml:space="preserve">1.3 Buenas prácticas de código y reportes HTML</t>
  </si>
  <si>
    <t xml:space="preserve">Arquitectura ordenada con POO (clases por entidad: Nave, Enemigo, Proyectil, Piloto, etc.)</t>
  </si>
  <si>
    <t xml:space="preserve">Nombres de variables/métodos claros y comentarios útiles</t>
  </si>
  <si>
    <t xml:space="preserve">Uso exclusivo de vectores y ciclos para pilotos e historial (sin colecciones dinámicas)</t>
  </si>
  <si>
    <t xml:space="preserve">2. CONOCIMIENTO – QUÉ SE PROGRAMA</t>
  </si>
  <si>
    <t xml:space="preserve">2.1 Menú principal</t>
  </si>
  <si>
    <t xml:space="preserve">Opciones Jugar, Crear Piloto, Top de Puntajes y Salir funcionan sin errores ni cuelgues</t>
  </si>
  <si>
    <t xml:space="preserve">Navegación correcta entre ventanas y regreso al menú al finalizar la partida</t>
  </si>
  <si>
    <t xml:space="preserve">2.2 Gestión de pilotos y naves</t>
  </si>
  <si>
    <t xml:space="preserve">Creación de piloto con validaciones (campos vacíos, nombres duplicados)</t>
  </si>
  <si>
    <t xml:space="preserve">Selección de piloto existente para jugar</t>
  </si>
  <si>
    <t xml:space="preserve">Selección de nave (Explorador / Caza Estelar / Acorazado)</t>
  </si>
  <si>
    <t xml:space="preserve">Tiempos de sleep() de movimiento y disparo según la nave (2 s / 1 s / 0.3 s)</t>
  </si>
  <si>
    <t xml:space="preserve">2.3 Simulación de combate e hilos</t>
  </si>
  <si>
    <t xml:space="preserve">Movimiento de la nave del jugador con teclado dentro de los límites de pantalla</t>
  </si>
  <si>
    <t xml:space="preserve">Enemigos y asteroides se generan en X máximo y se desplazan hacia X mínimo</t>
  </si>
  <si>
    <t xml:space="preserve">Cada proyectil del jugador es un hilo independiente que actualiza su posición (x, y)</t>
  </si>
  <si>
    <t xml:space="preserve">Cada enemigo/asteroide en pantalla es un hilo independiente</t>
  </si>
  <si>
    <t xml:space="preserve">Detección correcta de colisiones proyectil–enemigo (sin colisiones fantasma)</t>
  </si>
  <si>
    <t xml:space="preserve">Eliminación de objetos fuera de pantalla y animación sin parpadeos</t>
  </si>
  <si>
    <t xml:space="preserve">Puntaje actualizado en pantalla durante la partida</t>
  </si>
  <si>
    <t xml:space="preserve">2.4 Condición de derrota</t>
  </si>
  <si>
    <t xml:space="preserve">Colisión con enemigo o asteroide (fuera de ralentización) finaliza la partida</t>
  </si>
  <si>
    <t xml:space="preserve">Detención correcta de todos los hilos al terminar la partida</t>
  </si>
  <si>
    <t xml:space="preserve">Registro del puntaje en el historial y pantalla de resultados</t>
  </si>
  <si>
    <t xml:space="preserve">2.5 Mecánicas especiales</t>
  </si>
  <si>
    <t xml:space="preserve">Núcleo de Energía: +150 puntos y destruye a todos los enemigos visibles</t>
  </si>
  <si>
    <t xml:space="preserve">Asteroide: ralentiza o bloquea la nave del jugador por 2 segundos</t>
  </si>
  <si>
    <t xml:space="preserve">Cápsula de Suministro: +10 puntos al puntaje actual</t>
  </si>
  <si>
    <t xml:space="preserve">2.6 Top de puntajes e historial</t>
  </si>
  <si>
    <t xml:space="preserve">Top de puntajes ordenado de mayor a menor</t>
  </si>
  <si>
    <t xml:space="preserve">Gráfica de mejores puntajes con JFreeChart</t>
  </si>
  <si>
    <t xml:space="preserve">Historial de partidas almacenado en vectores y consultable</t>
  </si>
  <si>
    <t xml:space="preserve">2.7 Reportes HTML/PDF</t>
  </si>
  <si>
    <t xml:space="preserve">HTML generado con FileWriter/PrintWriter (solo java.io.*)</t>
  </si>
  <si>
    <t xml:space="preserve">Reporte incluye los datos y la gráfica exportada como imagen con ImageIO</t>
  </si>
  <si>
    <t xml:space="preserve">Reporte visualizable y guardable como PDF desde el navegador</t>
  </si>
  <si>
    <t xml:space="preserve">3. VERIFICACIÓN DE AUTORÍA / DEFENSA</t>
  </si>
  <si>
    <t xml:space="preserve">3.1 Preguntas sobre el código</t>
  </si>
  <si>
    <t xml:space="preserve">Pregunta teórica 1: explica la lógica y localiza la implementación en el código</t>
  </si>
  <si>
    <t xml:space="preserve">Pregunta teórica 2: explica la lógica y localiza la implementación en el código</t>
  </si>
  <si>
    <t xml:space="preserve">Pregunta teórica 3: explica la lógica y localiza la implementación en el código</t>
  </si>
  <si>
    <t xml:space="preserve">Pregunta teórica 4: explica la lógica y localiza la implementación en el código</t>
  </si>
  <si>
    <t xml:space="preserve">Pregunta teórica 5: explica la lógica y localiza la implementación en el código</t>
  </si>
  <si>
    <t xml:space="preserve">3.2 Modificación de código durante la evaluación</t>
  </si>
  <si>
    <t xml:space="preserve">Ubica en el código la lógica que debe modificar</t>
  </si>
  <si>
    <t xml:space="preserve">Implementa la modificación solicitada</t>
  </si>
  <si>
    <t xml:space="preserve">Compila el proyecto y demuestra el cambio funcionando</t>
  </si>
  <si>
    <t xml:space="preserve">TOTAL OBTENIDO (antes de penalizaciones)</t>
  </si>
  <si>
    <t xml:space="preserve">REQUISITOS PARA OPTAR A LA CALIFICACIÓN (informativo)</t>
  </si>
  <si>
    <t xml:space="preserve">Requisito</t>
  </si>
  <si>
    <t xml:space="preserve">Cumple</t>
  </si>
  <si>
    <t xml:space="preserve">Tecnología establecida: Java, aplicación con interfaz grafica usando POO</t>
  </si>
  <si>
    <t xml:space="preserve">Ejecución: el proyecto compila y el archivo .jar funciona correctamente</t>
  </si>
  <si>
    <t xml:space="preserve">Repositorio: privado, nombre correcto, auxiliar como colaborador y archivos completos</t>
  </si>
  <si>
    <t xml:space="preserve">Documentación: Manual técnico, Manual de usuario, Diagrama de flujo e informes</t>
  </si>
  <si>
    <t xml:space="preserve">Funcionalidad mínima: Muestra el menú,etc...</t>
  </si>
  <si>
    <t xml:space="preserve">Autoría: el estudiante se presenta a la evaluación y explica y modifica su código</t>
  </si>
  <si>
    <t xml:space="preserve">ASPECTOS REQUERIDOS – PENALIZACIONES SOBRE EL TOTAL OBTENIDO</t>
  </si>
  <si>
    <t xml:space="preserve">Descripción</t>
  </si>
  <si>
    <t xml:space="preserve">Penalización</t>
  </si>
  <si>
    <t xml:space="preserve">¿Aplica?</t>
  </si>
  <si>
    <t xml:space="preserve">Descuento</t>
  </si>
  <si>
    <t xml:space="preserve">Falta de documentación adecuada (README, manuales, diagrama o informe)</t>
  </si>
  <si>
    <t xml:space="preserve">Mal uso de estructura de código, comentarios o indentación (dificulta entender el código)</t>
  </si>
  <si>
    <t xml:space="preserve">El estudiante realizó commits fuera de la fecha de entrega</t>
  </si>
  <si>
    <t xml:space="preserve">El estudiante no realizo 2 commits semanales</t>
  </si>
  <si>
    <t xml:space="preserve">La aplicación no está desarrollada en Java</t>
  </si>
  <si>
    <t xml:space="preserve">Uso de librerías no permitidas</t>
  </si>
  <si>
    <t xml:space="preserve">Uso de ArrayList, LinkedList, List, HashMap u otra colección o estructura dinámica</t>
  </si>
  <si>
    <t xml:space="preserve">La aplicación no tiene interfaz grafica (es de consola)</t>
  </si>
  <si>
    <t xml:space="preserve">Uso de archivos, bases de datos o servicios externos para almacenar información</t>
  </si>
  <si>
    <t xml:space="preserve">Toda la solución está desarrollada dentro del método main</t>
  </si>
  <si>
    <t xml:space="preserve">No se agregó al auxiliar como colaborador del repositorio</t>
  </si>
  <si>
    <t xml:space="preserve">No se siguen instrucciones del repositorio (otro nombre, otro repositorio o falta de estructura de carpetas)</t>
  </si>
  <si>
    <t xml:space="preserve">El estudiante realizó copia total o parcial de código, documentación o diagramas</t>
  </si>
  <si>
    <t xml:space="preserve">El estudiante utilizó inteligencia artificial en la mayoría del proyecto</t>
  </si>
  <si>
    <t xml:space="preserve">El estudiante no presenta el proyecto usando el .jar generado</t>
  </si>
  <si>
    <t xml:space="preserve">El estudiante no se presenta a la evaluación o no puede explicar ni modificar su código</t>
  </si>
  <si>
    <t xml:space="preserve">1 solo commit con todo el proyecto</t>
  </si>
  <si>
    <t xml:space="preserve">TOTAL DE PENALIZACIONES</t>
  </si>
  <si>
    <t xml:space="preserve">NOTA FINAL (sobre 100 pts)</t>
  </si>
  <si>
    <t xml:space="preserve">Observaciones generales:</t>
  </si>
  <si>
    <t xml:space="preserve">_________________________</t>
  </si>
  <si>
    <t xml:space="preserve">Firma del Alumno</t>
  </si>
  <si>
    <t xml:space="preserve">Firma del Auxiliar</t>
  </si>
  <si>
    <t xml:space="preserve">Evelyn Cardona</t>
  </si>
  <si>
    <t xml:space="preserve">Monika Cruz</t>
  </si>
  <si>
    <t xml:space="preserve">Melissa Pérez</t>
  </si>
  <si>
    <t xml:space="preserve">Naomi Axpuac</t>
  </si>
  <si>
    <t xml:space="preserve">Chung Kim</t>
  </si>
  <si>
    <t xml:space="preserve">Brayan Martinez</t>
  </si>
  <si>
    <t xml:space="preserve">Kevin Apén</t>
  </si>
  <si>
    <t xml:space="preserve">Diego Gómez</t>
  </si>
  <si>
    <t xml:space="preserve">Kevin Mendoza</t>
  </si>
  <si>
    <t xml:space="preserve">Andy Raí</t>
  </si>
  <si>
    <t xml:space="preserve">Diego Alvarado</t>
  </si>
  <si>
    <t xml:space="preserve">Esvin Ortega</t>
  </si>
  <si>
    <t xml:space="preserve">Consolidado de calificaciones – Practica 2: Quetzal Space Defender - Side Scroller</t>
  </si>
  <si>
    <t xml:space="preserve">No.</t>
  </si>
  <si>
    <t xml:space="preserve">Carné</t>
  </si>
  <si>
    <t xml:space="preserve">Nombre del estudiante</t>
  </si>
  <si>
    <t xml:space="preserve">Habilidades (20)</t>
  </si>
  <si>
    <t xml:space="preserve">Conocimiento (55)</t>
  </si>
  <si>
    <t xml:space="preserve">Autoría (25)</t>
  </si>
  <si>
    <t xml:space="preserve">Subtotal</t>
  </si>
  <si>
    <t xml:space="preserve">Nota final</t>
  </si>
  <si>
    <t xml:space="preserve">Plagio</t>
  </si>
  <si>
    <t xml:space="preserve">Uso de IA</t>
  </si>
  <si>
    <t xml:space="preserve">Modificacion</t>
  </si>
  <si>
    <t xml:space="preserve">Repositorio</t>
  </si>
  <si>
    <t xml:space="preserve">201024808</t>
  </si>
  <si>
    <t xml:space="preserve">MARTA GABRIELA GÓMEZ DIMAYUGA</t>
  </si>
  <si>
    <t xml:space="preserve">201503481</t>
  </si>
  <si>
    <t xml:space="preserve">DIEGO ALFONSO CANEL FUENTES</t>
  </si>
  <si>
    <t xml:space="preserve">202004723</t>
  </si>
  <si>
    <t xml:space="preserve">ERMI RONALDO SOTO MEJÍA</t>
  </si>
  <si>
    <t xml:space="preserve">202201204</t>
  </si>
  <si>
    <t xml:space="preserve">BRYAN ALEXANDER MARTÍNEZ FLORES</t>
  </si>
  <si>
    <t xml:space="preserve">202300365</t>
  </si>
  <si>
    <t xml:space="preserve">BRAYAN HOMERO SOSA GONZALEZ</t>
  </si>
  <si>
    <t xml:space="preserve">202303797</t>
  </si>
  <si>
    <t xml:space="preserve">ROLANDO AARÓN BARRIOS BOROR</t>
  </si>
  <si>
    <t xml:space="preserve">202306260</t>
  </si>
  <si>
    <t xml:space="preserve">WILLIAM SAMUEL CABRERA GÓMEZ</t>
  </si>
  <si>
    <t xml:space="preserve">202308203</t>
  </si>
  <si>
    <t xml:space="preserve">HANS CRISTIAN MEYER DIAZ</t>
  </si>
  <si>
    <t xml:space="preserve">202308528</t>
  </si>
  <si>
    <t xml:space="preserve">ASTRID MARIA SUSETH MORALES RODAS</t>
  </si>
  <si>
    <t xml:space="preserve">202400066</t>
  </si>
  <si>
    <t xml:space="preserve">DIEGO SEBASTIAN ALVARADO MORATAYA</t>
  </si>
  <si>
    <t xml:space="preserve">202400155</t>
  </si>
  <si>
    <t xml:space="preserve">ESVIN FERNANDO ORTEGA GONZÁLEZ</t>
  </si>
  <si>
    <t xml:space="preserve">202400482</t>
  </si>
  <si>
    <t xml:space="preserve">ADRIAN EDUARDO ALVAREZ ZAMBRANO</t>
  </si>
  <si>
    <t xml:space="preserve">202403338</t>
  </si>
  <si>
    <t xml:space="preserve">ANDY RAÍ TELÓN GABRIEL</t>
  </si>
  <si>
    <t xml:space="preserve">202404528</t>
  </si>
  <si>
    <t xml:space="preserve">MELISSA GRISSEL PEREZ RIVAS</t>
  </si>
  <si>
    <t xml:space="preserve">202405048</t>
  </si>
  <si>
    <t xml:space="preserve">MONIKA ESTEFANIA CRUZ PALACIOS</t>
  </si>
  <si>
    <t xml:space="preserve">202405842</t>
  </si>
  <si>
    <t xml:space="preserve">GABRIEL LEVI ZAPETA MAZARIEGOS</t>
  </si>
  <si>
    <t xml:space="preserve">202406816</t>
  </si>
  <si>
    <t xml:space="preserve">EVELYN ARACELY CARDONA AGUILON</t>
  </si>
  <si>
    <t xml:space="preserve">202407699</t>
  </si>
  <si>
    <t xml:space="preserve">KEVIN ANDRE MENDOZA VILLEDA</t>
  </si>
  <si>
    <t xml:space="preserve">202501349</t>
  </si>
  <si>
    <t xml:space="preserve">DIEGO JOSÉ GÓMEZ LÓPEZ</t>
  </si>
  <si>
    <t xml:space="preserve">202501470</t>
  </si>
  <si>
    <t xml:space="preserve">CARLOS ANDRÉS HERNÁNDEZ VÁSQUEZ</t>
  </si>
  <si>
    <t xml:space="preserve">202501625</t>
  </si>
  <si>
    <t xml:space="preserve">CHUNG MIN KIM CHEN</t>
  </si>
  <si>
    <t xml:space="preserve">202502481</t>
  </si>
  <si>
    <t xml:space="preserve">FRANCISCO JAVIER CHIVICHÓN FERNÁNDEZ</t>
  </si>
  <si>
    <t xml:space="preserve">202505830</t>
  </si>
  <si>
    <t xml:space="preserve">NAOMI ROCIO AXPUAC VELASQUEZ</t>
  </si>
  <si>
    <t xml:space="preserve">This invitation has expired.</t>
  </si>
  <si>
    <t xml:space="preserve">202507586</t>
  </si>
  <si>
    <t xml:space="preserve">KEVYN JOSUÉ APÉN OTZOY</t>
  </si>
  <si>
    <t xml:space="preserve">Estudiantes calificados</t>
  </si>
  <si>
    <t xml:space="preserve">Nota promedio</t>
  </si>
  <si>
    <t xml:space="preserve">Nota más alta</t>
  </si>
  <si>
    <t xml:space="preserve">Nota más baja</t>
  </si>
  <si>
    <t xml:space="preserve">Aprobados (61 pts o más)</t>
  </si>
  <si>
    <t xml:space="preserve">Reprobados (menos de 61 pts)</t>
  </si>
  <si>
    <t xml:space="preserve">Carnet</t>
  </si>
  <si>
    <t xml:space="preserve">Nota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</si>
</sst>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.0"/>
    <numFmt numFmtId="167" formatCode="0.00"/>
    <numFmt numFmtId="168" formatCode="0\ %"/>
    <numFmt numFmtId="169" formatCode="0"/>
  </numFmts>
  <fonts count="17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4E79"/>
      <name val="Arial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8"/>
      <color rgb="FF000000"/>
      <name val="Arial"/>
      <family val="0"/>
      <charset val="1"/>
    </font>
    <font>
      <b val="true"/>
      <u val="single"/>
      <sz val="10"/>
      <color rgb="FF0000FF"/>
      <name val="Arial"/>
      <family val="0"/>
      <charset val="1"/>
    </font>
    <font>
      <sz val="11"/>
      <color rgb="FFF0F6FC"/>
      <name val="Mona Sans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ptos Narrow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8CCE4"/>
        <bgColor rgb="FF99CCFF"/>
      </patternFill>
    </fill>
    <fill>
      <patternFill patternType="solid">
        <fgColor rgb="FFDCE6F1"/>
        <bgColor rgb="FFF0F6FC"/>
      </patternFill>
    </fill>
    <fill>
      <patternFill patternType="solid">
        <fgColor rgb="FFFFF2CC"/>
        <bgColor rgb="FFF0F6FC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B8CCE4"/>
      </patternFill>
    </fill>
    <fill>
      <patternFill patternType="solid">
        <fgColor rgb="FFFFFFFF"/>
        <bgColor rgb="FFF0F6FC"/>
      </patternFill>
    </fill>
    <fill>
      <patternFill patternType="solid">
        <fgColor rgb="FF0D1117"/>
        <bgColor rgb="FF0000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8EA9DB"/>
      </left>
      <right style="thin">
        <color rgb="FF8EA9DB"/>
      </right>
      <top style="thin">
        <color rgb="FF8EA9DB"/>
      </top>
      <bottom/>
      <diagonal/>
    </border>
    <border diagonalUp="false" diagonalDown="false">
      <left style="thin">
        <color rgb="FF8EA9DB"/>
      </left>
      <right/>
      <top style="thin">
        <color rgb="FF8EA9DB"/>
      </top>
      <bottom style="thin">
        <color rgb="FF8EA9DB"/>
      </bottom>
      <diagonal/>
    </border>
    <border diagonalUp="false" diagonalDown="false"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3CD72"/>
          <bgColor rgb="FF000000"/>
        </patternFill>
      </fill>
    </dxf>
    <dxf>
      <fill>
        <patternFill patternType="solid">
          <fgColor rgb="FFCACE71"/>
          <bgColor rgb="FF000000"/>
        </patternFill>
      </fill>
    </dxf>
    <dxf>
      <fill>
        <patternFill patternType="solid">
          <fgColor rgb="FFD0CF70"/>
          <bgColor rgb="FF000000"/>
        </patternFill>
      </fill>
    </dxf>
    <dxf>
      <fill>
        <patternFill patternType="solid">
          <fgColor rgb="FFD4CF6F"/>
          <bgColor rgb="FF000000"/>
        </patternFill>
      </fill>
    </dxf>
    <dxf>
      <fill>
        <patternFill patternType="solid">
          <fgColor rgb="FFD5D06F"/>
          <bgColor rgb="FF000000"/>
        </patternFill>
      </fill>
    </dxf>
    <dxf>
      <fill>
        <patternFill patternType="solid">
          <fgColor rgb="FFDBD16D"/>
          <bgColor rgb="FF000000"/>
        </patternFill>
      </fill>
    </dxf>
    <dxf>
      <fill>
        <patternFill patternType="solid">
          <fgColor rgb="FFDED16D"/>
          <bgColor rgb="FF000000"/>
        </patternFill>
      </fill>
    </dxf>
    <dxf>
      <fill>
        <patternFill patternType="solid">
          <fgColor rgb="FFE5D26B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6F35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D1117"/>
          <bgColor rgb="FF000000"/>
        </patternFill>
      </fill>
    </dxf>
    <dxf>
      <fill>
        <patternFill patternType="solid">
          <fgColor rgb="FFF0F6F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6E0B4"/>
      <rgbColor rgb="FF808080"/>
      <rgbColor rgb="FF8EA9DB"/>
      <rgbColor rgb="FF993366"/>
      <rgbColor rgb="FFFFF2CC"/>
      <rgbColor rgb="FFF0F6FC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D1117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</row>
    <row r="12" customFormat="false" ht="15" hidden="false" customHeight="false" outlineLevel="0" collapsed="false">
      <c r="A12" s="5" t="s">
        <v>9</v>
      </c>
      <c r="B12" s="5"/>
      <c r="C12" s="7"/>
      <c r="D12" s="7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e">
        <f aca="false">IF(D16+D21+D25=0,"",D16+D21+D25)</f>
        <v>#VALUE!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str">
        <f aca="false">IF(SUM(D17:D20)=0,"",SUM(D17:D20))</f>
        <v/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/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/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/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/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str">
        <f aca="false">IF(SUM(D22:D24)=0,"",SUM(D22:D24))</f>
        <v/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/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/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/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str">
        <f aca="false">IF(SUM(D26:D28)=0,"",SUM(D26:D28))</f>
        <v/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/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/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/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e">
        <f aca="false">IF(D30+D33+D38+D46+D50+D54+D58=0,"",D30+D33+D38+D46+D50+D54+D58)</f>
        <v>#VALUE!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str">
        <f aca="false">IF(SUM(D31:D32)=0,"",SUM(D31:D32))</f>
        <v/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/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/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str">
        <f aca="false">IF(SUM(D34:D37)=0,"",SUM(D34:D37))</f>
        <v/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/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/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/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/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str">
        <f aca="false">IF(SUM(D39:D45)=0,"",SUM(D39:D45))</f>
        <v/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/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/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/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/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/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/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/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str">
        <f aca="false">IF(SUM(D47:D49)=0,"",SUM(D47:D49))</f>
        <v/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/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/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/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str">
        <f aca="false">IF(SUM(D51:D53)=0,"",SUM(D51:D53))</f>
        <v/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/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/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/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str">
        <f aca="false">IF(SUM(D55:D57)=0,"",SUM(D55:D57))</f>
        <v/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/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/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/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str">
        <f aca="false">IF(SUM(D59:D61)=0,"",SUM(D59:D61))</f>
        <v/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/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/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/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e">
        <f aca="false">IF(D63+D69=0,"",D63+D69)</f>
        <v>#VALUE!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str">
        <f aca="false">IF(SUM(D64:D68)=0,"",SUM(D64:D68))</f>
        <v/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/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/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/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/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/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str">
        <f aca="false">IF(SUM(D70:D72)=0,"",SUM(D70:D72))</f>
        <v/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/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/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/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e">
        <f aca="false">IF(D15+D29+D62=0,"",D15+D29+D62)</f>
        <v>#VALUE!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64" activePane="bottomLeft" state="frozen"/>
      <selection pane="topLeft" activeCell="A1" activeCellId="0" sqref="A1"/>
      <selection pane="bottomLeft" activeCell="D73" activeCellId="0" sqref="D7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</row>
    <row r="12" customFormat="false" ht="15" hidden="false" customHeight="false" outlineLevel="0" collapsed="false">
      <c r="A12" s="5" t="s">
        <v>9</v>
      </c>
      <c r="B12" s="5"/>
      <c r="C12" s="7" t="n">
        <v>202406816</v>
      </c>
      <c r="D12" s="7"/>
      <c r="E12" s="34" t="s">
        <v>110</v>
      </c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n">
        <f aca="false">IF(D16+D21+D25=0,"",D16+D21+D25)</f>
        <v>25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n">
        <f aca="false">IF(SUM(D17:D20)=0,"",SUM(D17:D20))</f>
        <v>10</v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 t="n">
        <v>3</v>
      </c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 t="n">
        <v>3</v>
      </c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 t="n">
        <v>2</v>
      </c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 t="n">
        <v>2</v>
      </c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n">
        <f aca="false">IF(SUM(D22:D24)=0,"",SUM(D22:D24))</f>
        <v>7</v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 t="n">
        <v>2</v>
      </c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 t="n">
        <v>3</v>
      </c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 t="n">
        <v>2</v>
      </c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n">
        <f aca="false">IF(SUM(D26:D28)=0,"",SUM(D26:D28))</f>
        <v>8</v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 t="n">
        <v>3</v>
      </c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 t="n">
        <v>2</v>
      </c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 t="n">
        <v>3</v>
      </c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n">
        <f aca="false">IF(D30+D33+D38+D46+D50+D54+D58=0,"",D30+D33+D38+D46+D50+D54+D58)</f>
        <v>38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n">
        <f aca="false">IF(SUM(D31:D32)=0,"",SUM(D31:D32))</f>
        <v>3</v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 t="n">
        <v>2</v>
      </c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 t="n">
        <v>1</v>
      </c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n">
        <f aca="false">IF(SUM(D34:D37)=0,"",SUM(D34:D37))</f>
        <v>7</v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 t="n">
        <v>2</v>
      </c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 t="n">
        <v>1</v>
      </c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 t="n">
        <v>1</v>
      </c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 t="n">
        <v>3</v>
      </c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n">
        <f aca="false">IF(SUM(D39:D45)=0,"",SUM(D39:D45))</f>
        <v>12</v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 t="n">
        <v>1</v>
      </c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 t="n">
        <v>2</v>
      </c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 t="n">
        <v>3</v>
      </c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 t="n">
        <v>3</v>
      </c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 t="n">
        <v>2</v>
      </c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 t="n">
        <v>0.5</v>
      </c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 t="n">
        <v>0.5</v>
      </c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n">
        <f aca="false">IF(SUM(D47:D49)=0,"",SUM(D47:D49))</f>
        <v>2</v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 t="n">
        <v>0</v>
      </c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 t="n">
        <v>1</v>
      </c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 t="n">
        <v>1</v>
      </c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n">
        <f aca="false">IF(SUM(D51:D53)=0,"",SUM(D51:D53))</f>
        <v>6</v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 t="n">
        <v>2</v>
      </c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 t="n">
        <v>2</v>
      </c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 t="n">
        <v>2</v>
      </c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n">
        <f aca="false">IF(SUM(D55:D57)=0,"",SUM(D55:D57))</f>
        <v>4</v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 t="n">
        <v>1</v>
      </c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 t="n">
        <v>2</v>
      </c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 t="n">
        <v>1</v>
      </c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n">
        <f aca="false">IF(SUM(D59:D61)=0,"",SUM(D59:D61))</f>
        <v>4</v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 t="n">
        <v>2</v>
      </c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 t="n">
        <v>1</v>
      </c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 t="n">
        <v>1</v>
      </c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n">
        <f aca="false">IF(D63+D69=0,"",D63+D69)</f>
        <v>35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n">
        <f aca="false">IF(SUM(D64:D68)=0,"",SUM(D64:D68))</f>
        <v>15</v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 t="n">
        <v>3</v>
      </c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 t="n">
        <v>3</v>
      </c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 t="n">
        <v>3</v>
      </c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 t="n">
        <v>3</v>
      </c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 t="n">
        <v>3</v>
      </c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n">
        <f aca="false">IF(SUM(D70:D72)=0,"",SUM(D70:D72))</f>
        <v>20</v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 t="n">
        <v>5</v>
      </c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 t="n">
        <v>8</v>
      </c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 t="n">
        <v>7</v>
      </c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n">
        <f aca="false">IF(D15+D29+D62=0,"",D15+D29+D62)</f>
        <v>98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  <c r="E11" s="34" t="s">
        <v>111</v>
      </c>
    </row>
    <row r="12" customFormat="false" ht="15" hidden="false" customHeight="false" outlineLevel="0" collapsed="false">
      <c r="A12" s="5" t="s">
        <v>9</v>
      </c>
      <c r="B12" s="5"/>
      <c r="C12" s="35" t="n">
        <v>202405048</v>
      </c>
      <c r="D12" s="36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n">
        <f aca="false">IF(D16+D21+D25=0,"",D16+D21+D25)</f>
        <v>23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n">
        <f aca="false">IF(SUM(D17:D20)=0,"",SUM(D17:D20))</f>
        <v>8</v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 t="n">
        <v>3</v>
      </c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 t="n">
        <v>3</v>
      </c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 t="n">
        <v>2</v>
      </c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 t="n">
        <v>0</v>
      </c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n">
        <f aca="false">IF(SUM(D22:D24)=0,"",SUM(D22:D24))</f>
        <v>7</v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 t="n">
        <v>2</v>
      </c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 t="n">
        <v>3</v>
      </c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 t="n">
        <v>2</v>
      </c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n">
        <f aca="false">IF(SUM(D26:D28)=0,"",SUM(D26:D28))</f>
        <v>8</v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 t="n">
        <v>3</v>
      </c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 t="n">
        <v>2</v>
      </c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 t="n">
        <v>3</v>
      </c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n">
        <f aca="false">IF(D30+D33+D38+D46+D50+D54+D58=0,"",D30+D33+D38+D46+D50+D54+D58)</f>
        <v>40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n">
        <f aca="false">IF(SUM(D31:D32)=0,"",SUM(D31:D32))</f>
        <v>3</v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 t="n">
        <v>2</v>
      </c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 t="n">
        <v>1</v>
      </c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n">
        <f aca="false">IF(SUM(D34:D37)=0,"",SUM(D34:D37))</f>
        <v>7</v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 t="n">
        <v>2</v>
      </c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 t="n">
        <v>1</v>
      </c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 t="n">
        <v>1</v>
      </c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 t="n">
        <v>3</v>
      </c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n">
        <f aca="false">IF(SUM(D39:D45)=0,"",SUM(D39:D45))</f>
        <v>12</v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 t="n">
        <v>1</v>
      </c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 t="n">
        <v>2</v>
      </c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 t="n">
        <v>3</v>
      </c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 t="n">
        <v>3</v>
      </c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 t="n">
        <v>2</v>
      </c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 t="n">
        <v>0.5</v>
      </c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 t="n">
        <v>0.5</v>
      </c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n">
        <f aca="false">IF(SUM(D47:D49)=0,"",SUM(D47:D49))</f>
        <v>4</v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 t="n">
        <v>2</v>
      </c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 t="n">
        <v>1</v>
      </c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 t="n">
        <v>1</v>
      </c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n">
        <f aca="false">IF(SUM(D51:D53)=0,"",SUM(D51:D53))</f>
        <v>6</v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 t="n">
        <v>2</v>
      </c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 t="n">
        <v>2</v>
      </c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 t="n">
        <v>2</v>
      </c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n">
        <f aca="false">IF(SUM(D55:D57)=0,"",SUM(D55:D57))</f>
        <v>4</v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 t="n">
        <v>1</v>
      </c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 t="n">
        <v>2</v>
      </c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 t="n">
        <v>1</v>
      </c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n">
        <f aca="false">IF(SUM(D59:D61)=0,"",SUM(D59:D61))</f>
        <v>4</v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 t="n">
        <v>2</v>
      </c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 t="n">
        <v>1</v>
      </c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 t="n">
        <v>1</v>
      </c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e">
        <f aca="false">IF(D63+D69=0,"",D63+D69)</f>
        <v>#VALUE!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n">
        <f aca="false">IF(SUM(D64:D68)=0,"",SUM(D64:D68))</f>
        <v>5</v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 t="n">
        <v>3</v>
      </c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 t="n">
        <v>2</v>
      </c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 t="n">
        <v>0</v>
      </c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 t="n">
        <v>0</v>
      </c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 t="n">
        <v>0</v>
      </c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str">
        <f aca="false">IF(SUM(D70:D72)=0,"",SUM(D70:D72))</f>
        <v/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 t="n">
        <v>0</v>
      </c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 t="n">
        <v>0</v>
      </c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 t="n">
        <v>0</v>
      </c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e">
        <f aca="false">IF(D15+D29+D62=0,"",D15+D29+D62)</f>
        <v>#VALUE!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  <c r="E11" s="34" t="s">
        <v>112</v>
      </c>
    </row>
    <row r="12" customFormat="false" ht="15" hidden="false" customHeight="false" outlineLevel="0" collapsed="false">
      <c r="A12" s="5" t="s">
        <v>9</v>
      </c>
      <c r="B12" s="5"/>
      <c r="C12" s="35" t="n">
        <v>202404528</v>
      </c>
      <c r="D12" s="36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n">
        <f aca="false">IF(D16+D21+D25=0,"",D16+D21+D25)</f>
        <v>21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n">
        <f aca="false">IF(SUM(D17:D20)=0,"",SUM(D17:D20))</f>
        <v>6</v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 t="n">
        <v>3</v>
      </c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 t="n">
        <v>1</v>
      </c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 t="n">
        <v>2</v>
      </c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 t="n">
        <v>0</v>
      </c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n">
        <f aca="false">IF(SUM(D22:D24)=0,"",SUM(D22:D24))</f>
        <v>7</v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 t="n">
        <v>2</v>
      </c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 t="n">
        <v>3</v>
      </c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 t="n">
        <v>2</v>
      </c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n">
        <f aca="false">IF(SUM(D26:D28)=0,"",SUM(D26:D28))</f>
        <v>8</v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 t="n">
        <v>3</v>
      </c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 t="n">
        <v>2</v>
      </c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 t="n">
        <v>3</v>
      </c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n">
        <f aca="false">IF(D30+D33+D38+D46+D50+D54+D58=0,"",D30+D33+D38+D46+D50+D54+D58)</f>
        <v>40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n">
        <f aca="false">IF(SUM(D31:D32)=0,"",SUM(D31:D32))</f>
        <v>3</v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 t="n">
        <v>2</v>
      </c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 t="n">
        <v>1</v>
      </c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n">
        <f aca="false">IF(SUM(D34:D37)=0,"",SUM(D34:D37))</f>
        <v>7</v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 t="n">
        <v>2</v>
      </c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 t="n">
        <v>1</v>
      </c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 t="n">
        <v>1</v>
      </c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 t="n">
        <v>3</v>
      </c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n">
        <f aca="false">IF(SUM(D39:D45)=0,"",SUM(D39:D45))</f>
        <v>12</v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 t="n">
        <v>1</v>
      </c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 t="n">
        <v>2</v>
      </c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 t="n">
        <v>3</v>
      </c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 t="n">
        <v>3</v>
      </c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 t="n">
        <v>2</v>
      </c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 t="n">
        <v>0.5</v>
      </c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 t="n">
        <v>0.5</v>
      </c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n">
        <f aca="false">IF(SUM(D47:D49)=0,"",SUM(D47:D49))</f>
        <v>4</v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 t="n">
        <v>2</v>
      </c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 t="n">
        <v>1</v>
      </c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 t="n">
        <v>1</v>
      </c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n">
        <f aca="false">IF(SUM(D51:D53)=0,"",SUM(D51:D53))</f>
        <v>6</v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 t="n">
        <v>2</v>
      </c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 t="n">
        <v>2</v>
      </c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 t="n">
        <v>2</v>
      </c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n">
        <f aca="false">IF(SUM(D55:D57)=0,"",SUM(D55:D57))</f>
        <v>4</v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 t="n">
        <v>1</v>
      </c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 t="n">
        <v>2</v>
      </c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 t="n">
        <v>1</v>
      </c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n">
        <f aca="false">IF(SUM(D59:D61)=0,"",SUM(D59:D61))</f>
        <v>4</v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 t="n">
        <v>2</v>
      </c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 t="n">
        <v>1</v>
      </c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 t="n">
        <v>1</v>
      </c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n">
        <f aca="false">IF(D63+D69=0,"",D63+D69)</f>
        <v>20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n">
        <f aca="false">IF(SUM(D64:D68)=0,"",SUM(D64:D68))</f>
        <v>7</v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 t="n">
        <v>0</v>
      </c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 t="n">
        <v>0</v>
      </c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 t="n">
        <v>3</v>
      </c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 t="n">
        <v>3</v>
      </c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 t="n">
        <v>1</v>
      </c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n">
        <f aca="false">IF(SUM(D70:D72)=0,"",SUM(D70:D72))</f>
        <v>13</v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 t="n">
        <v>5</v>
      </c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 t="n">
        <v>4</v>
      </c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 t="n">
        <v>4</v>
      </c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n">
        <f aca="false">IF(D15+D29+D62=0,"",D15+D29+D62)</f>
        <v>81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  <c r="E11" s="34" t="s">
        <v>113</v>
      </c>
    </row>
    <row r="12" customFormat="false" ht="15" hidden="false" customHeight="false" outlineLevel="0" collapsed="false">
      <c r="A12" s="5" t="s">
        <v>9</v>
      </c>
      <c r="B12" s="5"/>
      <c r="C12" s="35" t="n">
        <v>202505830</v>
      </c>
      <c r="D12" s="36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n">
        <f aca="false">IF(D16+D21+D25=0,"",D16+D21+D25)</f>
        <v>21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n">
        <f aca="false">IF(SUM(D17:D20)=0,"",SUM(D17:D20))</f>
        <v>6</v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 t="n">
        <v>3</v>
      </c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 t="n">
        <v>3</v>
      </c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 t="n">
        <v>0</v>
      </c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 t="n">
        <v>0</v>
      </c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n">
        <f aca="false">IF(SUM(D22:D24)=0,"",SUM(D22:D24))</f>
        <v>7</v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 t="n">
        <v>2</v>
      </c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 t="n">
        <v>3</v>
      </c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 t="n">
        <v>2</v>
      </c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n">
        <f aca="false">IF(SUM(D26:D28)=0,"",SUM(D26:D28))</f>
        <v>8</v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 t="n">
        <v>3</v>
      </c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 t="n">
        <v>2</v>
      </c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 t="n">
        <v>3</v>
      </c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n">
        <f aca="false">IF(D30+D33+D38+D46+D50+D54+D58=0,"",D30+D33+D38+D46+D50+D54+D58)</f>
        <v>40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n">
        <f aca="false">IF(SUM(D31:D32)=0,"",SUM(D31:D32))</f>
        <v>3</v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 t="n">
        <v>2</v>
      </c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 t="n">
        <v>1</v>
      </c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n">
        <f aca="false">IF(SUM(D34:D37)=0,"",SUM(D34:D37))</f>
        <v>7</v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 t="n">
        <v>2</v>
      </c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 t="n">
        <v>1</v>
      </c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 t="n">
        <v>1</v>
      </c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 t="n">
        <v>3</v>
      </c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n">
        <f aca="false">IF(SUM(D39:D45)=0,"",SUM(D39:D45))</f>
        <v>12</v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 t="n">
        <v>1</v>
      </c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 t="n">
        <v>2</v>
      </c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 t="n">
        <v>3</v>
      </c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 t="n">
        <v>3</v>
      </c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 t="n">
        <v>2</v>
      </c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 t="n">
        <v>0.5</v>
      </c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 t="n">
        <v>0.5</v>
      </c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n">
        <f aca="false">IF(SUM(D47:D49)=0,"",SUM(D47:D49))</f>
        <v>4</v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 t="n">
        <v>2</v>
      </c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 t="n">
        <v>1</v>
      </c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 t="n">
        <v>1</v>
      </c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n">
        <f aca="false">IF(SUM(D51:D53)=0,"",SUM(D51:D53))</f>
        <v>6</v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 t="n">
        <v>2</v>
      </c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 t="n">
        <v>2</v>
      </c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 t="n">
        <v>2</v>
      </c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n">
        <f aca="false">IF(SUM(D55:D57)=0,"",SUM(D55:D57))</f>
        <v>4</v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 t="n">
        <v>1</v>
      </c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 t="n">
        <v>2</v>
      </c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 t="n">
        <v>1</v>
      </c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n">
        <f aca="false">IF(SUM(D59:D61)=0,"",SUM(D59:D61))</f>
        <v>4</v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 t="n">
        <v>2</v>
      </c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 t="n">
        <v>1</v>
      </c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 t="n">
        <v>1</v>
      </c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n">
        <f aca="false">IF(D63+D69=0,"",D63+D69)</f>
        <v>19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n">
        <f aca="false">IF(SUM(D64:D68)=0,"",SUM(D64:D68))</f>
        <v>6</v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 t="n">
        <v>3</v>
      </c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 t="n">
        <v>3</v>
      </c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 t="n">
        <v>0</v>
      </c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 t="n">
        <v>0</v>
      </c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 t="n">
        <v>0</v>
      </c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n">
        <f aca="false">IF(SUM(D70:D72)=0,"",SUM(D70:D72))</f>
        <v>13</v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 t="n">
        <v>5</v>
      </c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 t="n">
        <v>4</v>
      </c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 t="n">
        <v>4</v>
      </c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n">
        <f aca="false">IF(D15+D29+D62=0,"",D15+D29+D62)</f>
        <v>80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  <c r="E11" s="34" t="s">
        <v>114</v>
      </c>
    </row>
    <row r="12" customFormat="false" ht="15" hidden="false" customHeight="false" outlineLevel="0" collapsed="false">
      <c r="A12" s="5" t="s">
        <v>9</v>
      </c>
      <c r="B12" s="5"/>
      <c r="C12" s="35" t="n">
        <v>202501625</v>
      </c>
      <c r="D12" s="36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n">
        <f aca="false">IF(D16+D21+D25=0,"",D16+D21+D25)</f>
        <v>21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n">
        <f aca="false">IF(SUM(D17:D20)=0,"",SUM(D17:D20))</f>
        <v>6</v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 t="n">
        <v>3</v>
      </c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 t="n">
        <v>3</v>
      </c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 t="n">
        <v>0</v>
      </c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 t="n">
        <v>0</v>
      </c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n">
        <f aca="false">IF(SUM(D22:D24)=0,"",SUM(D22:D24))</f>
        <v>7</v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 t="n">
        <v>2</v>
      </c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 t="n">
        <v>3</v>
      </c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 t="n">
        <v>2</v>
      </c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n">
        <f aca="false">IF(SUM(D26:D28)=0,"",SUM(D26:D28))</f>
        <v>8</v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 t="n">
        <v>3</v>
      </c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 t="n">
        <v>2</v>
      </c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 t="n">
        <v>3</v>
      </c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n">
        <f aca="false">IF(D30+D33+D38+D46+D50+D54+D58=0,"",D30+D33+D38+D46+D50+D54+D58)</f>
        <v>40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n">
        <f aca="false">IF(SUM(D31:D32)=0,"",SUM(D31:D32))</f>
        <v>3</v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 t="n">
        <v>2</v>
      </c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 t="n">
        <v>1</v>
      </c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n">
        <f aca="false">IF(SUM(D34:D37)=0,"",SUM(D34:D37))</f>
        <v>7</v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 t="n">
        <v>2</v>
      </c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 t="n">
        <v>1</v>
      </c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 t="n">
        <v>1</v>
      </c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 t="n">
        <v>3</v>
      </c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n">
        <f aca="false">IF(SUM(D39:D45)=0,"",SUM(D39:D45))</f>
        <v>12</v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 t="n">
        <v>1</v>
      </c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 t="n">
        <v>2</v>
      </c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 t="n">
        <v>3</v>
      </c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 t="n">
        <v>3</v>
      </c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 t="n">
        <v>2</v>
      </c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 t="n">
        <v>0.5</v>
      </c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 t="n">
        <v>0.5</v>
      </c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n">
        <f aca="false">IF(SUM(D47:D49)=0,"",SUM(D47:D49))</f>
        <v>4</v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 t="n">
        <v>2</v>
      </c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 t="n">
        <v>1</v>
      </c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 t="n">
        <v>1</v>
      </c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n">
        <f aca="false">IF(SUM(D51:D53)=0,"",SUM(D51:D53))</f>
        <v>6</v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 t="n">
        <v>2</v>
      </c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 t="n">
        <v>2</v>
      </c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 t="n">
        <v>2</v>
      </c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n">
        <f aca="false">IF(SUM(D55:D57)=0,"",SUM(D55:D57))</f>
        <v>4</v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 t="n">
        <v>1</v>
      </c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 t="n">
        <v>2</v>
      </c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 t="n">
        <v>1</v>
      </c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n">
        <f aca="false">IF(SUM(D59:D61)=0,"",SUM(D59:D61))</f>
        <v>4</v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 t="n">
        <v>2</v>
      </c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 t="n">
        <v>1</v>
      </c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 t="n">
        <v>1</v>
      </c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n">
        <f aca="false">IF(D63+D69=0,"",D63+D69)</f>
        <v>26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n">
        <f aca="false">IF(SUM(D64:D68)=0,"",SUM(D64:D68))</f>
        <v>9</v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 t="n">
        <v>0</v>
      </c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 t="n">
        <v>0</v>
      </c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 t="n">
        <v>3</v>
      </c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 t="n">
        <v>3</v>
      </c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 t="n">
        <v>3</v>
      </c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n">
        <f aca="false">IF(SUM(D70:D72)=0,"",SUM(D70:D72))</f>
        <v>17</v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 t="n">
        <v>5</v>
      </c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 t="n">
        <v>6</v>
      </c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 t="n">
        <v>6</v>
      </c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n">
        <f aca="false">IF(D15+D29+D62=0,"",D15+D29+D62)</f>
        <v>87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  <c r="E11" s="34" t="s">
        <v>115</v>
      </c>
    </row>
    <row r="12" customFormat="false" ht="15" hidden="false" customHeight="false" outlineLevel="0" collapsed="false">
      <c r="A12" s="5" t="s">
        <v>9</v>
      </c>
      <c r="B12" s="5"/>
      <c r="C12" s="35" t="n">
        <v>202201204</v>
      </c>
      <c r="D12" s="36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n">
        <f aca="false">IF(D16+D21+D25=0,"",D16+D21+D25)</f>
        <v>23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n">
        <f aca="false">IF(SUM(D17:D20)=0,"",SUM(D17:D20))</f>
        <v>9</v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 t="n">
        <v>3</v>
      </c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 t="n">
        <v>2</v>
      </c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 t="n">
        <v>2</v>
      </c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 t="n">
        <v>2</v>
      </c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n">
        <f aca="false">IF(SUM(D22:D24)=0,"",SUM(D22:D24))</f>
        <v>7</v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 t="n">
        <v>2</v>
      </c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 t="n">
        <v>3</v>
      </c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 t="n">
        <v>2</v>
      </c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n">
        <f aca="false">IF(SUM(D26:D28)=0,"",SUM(D26:D28))</f>
        <v>7</v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 t="n">
        <v>3</v>
      </c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 t="n">
        <v>2</v>
      </c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 t="n">
        <v>2</v>
      </c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n">
        <f aca="false">IF(D30+D33+D38+D46+D50+D54+D58=0,"",D30+D33+D38+D46+D50+D54+D58)</f>
        <v>34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n">
        <f aca="false">IF(SUM(D31:D32)=0,"",SUM(D31:D32))</f>
        <v>3</v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 t="n">
        <v>2</v>
      </c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 t="n">
        <v>1</v>
      </c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n">
        <f aca="false">IF(SUM(D34:D37)=0,"",SUM(D34:D37))</f>
        <v>7</v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 t="n">
        <v>2</v>
      </c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 t="n">
        <v>1</v>
      </c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 t="n">
        <v>1</v>
      </c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 t="n">
        <v>3</v>
      </c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n">
        <f aca="false">IF(SUM(D39:D45)=0,"",SUM(D39:D45))</f>
        <v>12</v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 t="n">
        <v>1</v>
      </c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 t="n">
        <v>2</v>
      </c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 t="n">
        <v>3</v>
      </c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 t="n">
        <v>3</v>
      </c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 t="n">
        <v>2</v>
      </c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 t="n">
        <v>0.5</v>
      </c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 t="n">
        <v>0.5</v>
      </c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n">
        <f aca="false">IF(SUM(D47:D49)=0,"",SUM(D47:D49))</f>
        <v>4</v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 t="n">
        <v>2</v>
      </c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 t="n">
        <v>1</v>
      </c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 t="n">
        <v>1</v>
      </c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n">
        <f aca="false">IF(SUM(D51:D53)=0,"",SUM(D51:D53))</f>
        <v>6</v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 t="n">
        <v>2</v>
      </c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 t="n">
        <v>2</v>
      </c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 t="n">
        <v>2</v>
      </c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n">
        <f aca="false">IF(SUM(D55:D57)=0,"",SUM(D55:D57))</f>
        <v>1</v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/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 t="n">
        <v>1</v>
      </c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 t="n">
        <v>0</v>
      </c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n">
        <v>1</v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 t="n">
        <v>1</v>
      </c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 t="n">
        <v>0</v>
      </c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 t="n">
        <v>0</v>
      </c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n">
        <f aca="false">IF(D63+D69=0,"",D63+D69)</f>
        <v>35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n">
        <f aca="false">IF(SUM(D64:D68)=0,"",SUM(D64:D68))</f>
        <v>15</v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 t="n">
        <v>3</v>
      </c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 t="n">
        <v>3</v>
      </c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 t="n">
        <v>3</v>
      </c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 t="n">
        <v>3</v>
      </c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 t="n">
        <v>3</v>
      </c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n">
        <f aca="false">IF(SUM(D70:D72)=0,"",SUM(D70:D72))</f>
        <v>20</v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 t="n">
        <v>5</v>
      </c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 t="n">
        <v>8</v>
      </c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 t="n">
        <v>7</v>
      </c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n">
        <f aca="false">IF(D15+D29+D62=0,"",D15+D29+D62)</f>
        <v>92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  <c r="E11" s="34" t="s">
        <v>116</v>
      </c>
    </row>
    <row r="12" customFormat="false" ht="15" hidden="false" customHeight="false" outlineLevel="0" collapsed="false">
      <c r="A12" s="5" t="s">
        <v>9</v>
      </c>
      <c r="B12" s="5"/>
      <c r="C12" s="35" t="n">
        <v>202507586</v>
      </c>
      <c r="D12" s="36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n">
        <f aca="false">IF(D16+D21+D25=0,"",D16+D21+D25)</f>
        <v>23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n">
        <f aca="false">IF(SUM(D17:D20)=0,"",SUM(D17:D20))</f>
        <v>8</v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 t="n">
        <v>3</v>
      </c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 t="n">
        <v>3</v>
      </c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 t="n">
        <v>2</v>
      </c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 t="n">
        <v>0</v>
      </c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n">
        <f aca="false">IF(SUM(D22:D24)=0,"",SUM(D22:D24))</f>
        <v>7</v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 t="n">
        <v>2</v>
      </c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 t="n">
        <v>3</v>
      </c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 t="n">
        <v>2</v>
      </c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n">
        <f aca="false">IF(SUM(D26:D28)=0,"",SUM(D26:D28))</f>
        <v>8</v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 t="n">
        <v>3</v>
      </c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 t="n">
        <v>2</v>
      </c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 t="n">
        <v>3</v>
      </c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e">
        <f aca="false">IF(D30+D33+D38+D46+D50+D54+D58=0,"",D30+D33+D38+D46+D50+D54+D58)</f>
        <v>#VALUE!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n">
        <f aca="false">IF(SUM(D31:D32)=0,"",SUM(D31:D32))</f>
        <v>3</v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 t="n">
        <v>2</v>
      </c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 t="n">
        <v>1</v>
      </c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n">
        <f aca="false">IF(SUM(D34:D37)=0,"",SUM(D34:D37))</f>
        <v>7</v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 t="n">
        <v>2</v>
      </c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 t="n">
        <v>1</v>
      </c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 t="n">
        <v>1</v>
      </c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 t="n">
        <v>3</v>
      </c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n">
        <f aca="false">IF(SUM(D39:D45)=0,"",SUM(D39:D45))</f>
        <v>12</v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 t="n">
        <v>1</v>
      </c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 t="n">
        <v>2</v>
      </c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 t="n">
        <v>3</v>
      </c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 t="n">
        <v>3</v>
      </c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 t="n">
        <v>2</v>
      </c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 t="n">
        <v>0.5</v>
      </c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 t="n">
        <v>0.5</v>
      </c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n">
        <f aca="false">IF(SUM(D47:D49)=0,"",SUM(D47:D49))</f>
        <v>4</v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 t="n">
        <v>2</v>
      </c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 t="n">
        <v>1</v>
      </c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 t="n">
        <v>1</v>
      </c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n">
        <f aca="false">IF(SUM(D51:D53)=0,"",SUM(D51:D53))</f>
        <v>6</v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 t="n">
        <v>2</v>
      </c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 t="n">
        <v>2</v>
      </c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 t="n">
        <v>2</v>
      </c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str">
        <f aca="false">IF(SUM(D55:D57)=0,"",SUM(D55:D57))</f>
        <v/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 t="n">
        <v>0</v>
      </c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 t="n">
        <v>0</v>
      </c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 t="n">
        <v>0</v>
      </c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str">
        <f aca="false">IF(SUM(D59:D61)=0,"",SUM(D59:D61))</f>
        <v/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 t="n">
        <v>0</v>
      </c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 t="n">
        <v>0</v>
      </c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 t="n">
        <v>0</v>
      </c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n">
        <f aca="false">IF(D63+D69=0,"",D63+D69)</f>
        <v>35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n">
        <f aca="false">IF(SUM(D64:D68)=0,"",SUM(D64:D68))</f>
        <v>15</v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 t="n">
        <v>3</v>
      </c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 t="n">
        <v>3</v>
      </c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 t="n">
        <v>3</v>
      </c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 t="n">
        <v>3</v>
      </c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 t="n">
        <v>3</v>
      </c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n">
        <f aca="false">IF(SUM(D70:D72)=0,"",SUM(D70:D72))</f>
        <v>20</v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 t="n">
        <v>5</v>
      </c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 t="n">
        <v>8</v>
      </c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 t="n">
        <v>7</v>
      </c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e">
        <f aca="false">IF(D15+D29+D62=0,"",D15+D29+D62)</f>
        <v>#VALUE!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8:D8"/>
    <mergeCell ref="A10:B10"/>
    <mergeCell ref="C10:D10"/>
    <mergeCell ref="A11:B11"/>
    <mergeCell ref="C11:D11"/>
    <mergeCell ref="A12:B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  <c r="E11" s="34" t="s">
        <v>117</v>
      </c>
    </row>
    <row r="12" customFormat="false" ht="15" hidden="false" customHeight="false" outlineLevel="0" collapsed="false">
      <c r="A12" s="5" t="s">
        <v>9</v>
      </c>
      <c r="B12" s="5"/>
      <c r="C12" s="7"/>
      <c r="D12" s="7"/>
      <c r="E12" s="34" t="n">
        <v>202501349</v>
      </c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n">
        <f aca="false">IF(D16+D21+D25=0,"",D16+D21+D25)</f>
        <v>23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n">
        <f aca="false">IF(SUM(D17:D20)=0,"",SUM(D17:D20))</f>
        <v>8</v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 t="n">
        <v>3</v>
      </c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 t="n">
        <v>3</v>
      </c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 t="n">
        <v>2</v>
      </c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 t="n">
        <v>0</v>
      </c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n">
        <f aca="false">IF(SUM(D22:D24)=0,"",SUM(D22:D24))</f>
        <v>7</v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 t="n">
        <v>2</v>
      </c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 t="n">
        <v>3</v>
      </c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 t="n">
        <v>2</v>
      </c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n">
        <f aca="false">IF(SUM(D26:D28)=0,"",SUM(D26:D28))</f>
        <v>8</v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 t="n">
        <v>3</v>
      </c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 t="n">
        <v>2</v>
      </c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 t="n">
        <v>3</v>
      </c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n">
        <f aca="false">IF(D30+D33+D38+D46+D50+D54+D58=0,"",D30+D33+D38+D46+D50+D54+D58)</f>
        <v>40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n">
        <f aca="false">IF(SUM(D31:D32)=0,"",SUM(D31:D32))</f>
        <v>3</v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 t="n">
        <v>2</v>
      </c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 t="n">
        <v>1</v>
      </c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n">
        <f aca="false">IF(SUM(D34:D37)=0,"",SUM(D34:D37))</f>
        <v>7</v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 t="n">
        <v>2</v>
      </c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 t="n">
        <v>1</v>
      </c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 t="n">
        <v>1</v>
      </c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 t="n">
        <v>3</v>
      </c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n">
        <f aca="false">IF(SUM(D39:D45)=0,"",SUM(D39:D45))</f>
        <v>12</v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 t="n">
        <v>1</v>
      </c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 t="n">
        <v>2</v>
      </c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 t="n">
        <v>3</v>
      </c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 t="n">
        <v>3</v>
      </c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 t="n">
        <v>2</v>
      </c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 t="n">
        <v>0.5</v>
      </c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 t="n">
        <v>0.5</v>
      </c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n">
        <f aca="false">IF(SUM(D47:D49)=0,"",SUM(D47:D49))</f>
        <v>4</v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 t="n">
        <v>2</v>
      </c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 t="n">
        <v>1</v>
      </c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 t="n">
        <v>1</v>
      </c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n">
        <f aca="false">IF(SUM(D51:D53)=0,"",SUM(D51:D53))</f>
        <v>6</v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 t="n">
        <v>2</v>
      </c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 t="n">
        <v>2</v>
      </c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 t="n">
        <v>2</v>
      </c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n">
        <f aca="false">IF(SUM(D55:D57)=0,"",SUM(D55:D57))</f>
        <v>4</v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 t="n">
        <v>1</v>
      </c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 t="n">
        <v>2</v>
      </c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 t="n">
        <v>1</v>
      </c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n">
        <f aca="false">IF(SUM(D59:D61)=0,"",SUM(D59:D61))</f>
        <v>4</v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 t="n">
        <v>2</v>
      </c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 t="n">
        <v>1</v>
      </c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 t="n">
        <v>1</v>
      </c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n">
        <f aca="false">IF(D63+D69=0,"",D63+D69)</f>
        <v>35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n">
        <f aca="false">IF(SUM(D64:D68)=0,"",SUM(D64:D68))</f>
        <v>15</v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 t="n">
        <v>3</v>
      </c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 t="n">
        <v>3</v>
      </c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 t="n">
        <v>3</v>
      </c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 t="n">
        <v>3</v>
      </c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 t="n">
        <v>3</v>
      </c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n">
        <f aca="false">IF(SUM(D70:D72)=0,"",SUM(D70:D72))</f>
        <v>20</v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 t="n">
        <v>5</v>
      </c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 t="n">
        <v>8</v>
      </c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 t="n">
        <v>7</v>
      </c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n">
        <f aca="false">IF(D15+D29+D62=0,"",D15+D29+D62)</f>
        <v>98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  <c r="E11" s="34" t="s">
        <v>118</v>
      </c>
    </row>
    <row r="12" customFormat="false" ht="15" hidden="false" customHeight="false" outlineLevel="0" collapsed="false">
      <c r="A12" s="5" t="s">
        <v>9</v>
      </c>
      <c r="B12" s="5"/>
      <c r="C12" s="7" t="n">
        <v>202407699</v>
      </c>
      <c r="D12" s="7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n">
        <f aca="false">IF(D16+D21+D25=0,"",D16+D21+D25)</f>
        <v>18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n">
        <f aca="false">IF(SUM(D17:D20)=0,"",SUM(D17:D20))</f>
        <v>3</v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 t="n">
        <v>1</v>
      </c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 t="n">
        <v>2</v>
      </c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 t="n">
        <v>0</v>
      </c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 t="n">
        <v>0</v>
      </c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n">
        <f aca="false">IF(SUM(D22:D24)=0,"",SUM(D22:D24))</f>
        <v>7</v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 t="n">
        <v>2</v>
      </c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 t="n">
        <v>3</v>
      </c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 t="n">
        <v>2</v>
      </c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n">
        <f aca="false">IF(SUM(D26:D28)=0,"",SUM(D26:D28))</f>
        <v>8</v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 t="n">
        <v>3</v>
      </c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 t="n">
        <v>2</v>
      </c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 t="n">
        <v>3</v>
      </c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n">
        <f aca="false">IF(D30+D33+D38+D46+D50+D54+D58=0,"",D30+D33+D38+D46+D50+D54+D58)</f>
        <v>40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n">
        <f aca="false">IF(SUM(D31:D32)=0,"",SUM(D31:D32))</f>
        <v>3</v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 t="n">
        <v>2</v>
      </c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 t="n">
        <v>1</v>
      </c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n">
        <f aca="false">IF(SUM(D34:D37)=0,"",SUM(D34:D37))</f>
        <v>7</v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 t="n">
        <v>2</v>
      </c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 t="n">
        <v>1</v>
      </c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 t="n">
        <v>1</v>
      </c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 t="n">
        <v>3</v>
      </c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n">
        <f aca="false">IF(SUM(D39:D45)=0,"",SUM(D39:D45))</f>
        <v>12</v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 t="n">
        <v>1</v>
      </c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 t="n">
        <v>2</v>
      </c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 t="n">
        <v>3</v>
      </c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 t="n">
        <v>3</v>
      </c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 t="n">
        <v>2</v>
      </c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 t="n">
        <v>0.5</v>
      </c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 t="n">
        <v>0.5</v>
      </c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n">
        <f aca="false">IF(SUM(D47:D49)=0,"",SUM(D47:D49))</f>
        <v>4</v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 t="n">
        <v>2</v>
      </c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 t="n">
        <v>1</v>
      </c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 t="n">
        <v>1</v>
      </c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n">
        <f aca="false">IF(SUM(D51:D53)=0,"",SUM(D51:D53))</f>
        <v>6</v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 t="n">
        <v>2</v>
      </c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 t="n">
        <v>2</v>
      </c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 t="n">
        <v>2</v>
      </c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n">
        <f aca="false">IF(SUM(D55:D57)=0,"",SUM(D55:D57))</f>
        <v>4</v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 t="n">
        <v>1</v>
      </c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 t="n">
        <v>2</v>
      </c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 t="n">
        <v>1</v>
      </c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n">
        <f aca="false">IF(SUM(D59:D61)=0,"",SUM(D59:D61))</f>
        <v>4</v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 t="n">
        <v>2</v>
      </c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 t="n">
        <v>1</v>
      </c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 t="n">
        <v>1</v>
      </c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n">
        <f aca="false">IF(D63+D69=0,"",D63+D69)</f>
        <v>12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n">
        <f aca="false">IF(SUM(D64:D68)=0,"",SUM(D64:D68))</f>
        <v>9</v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 t="n">
        <v>3</v>
      </c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 t="n">
        <v>3</v>
      </c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 t="n">
        <v>0</v>
      </c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 t="n">
        <v>0</v>
      </c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 t="n">
        <v>3</v>
      </c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n">
        <f aca="false">IF(SUM(D70:D72)=0,"",SUM(D70:D72))</f>
        <v>3</v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 t="n">
        <v>3</v>
      </c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 t="n">
        <v>0</v>
      </c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 t="n">
        <v>0</v>
      </c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n">
        <f aca="false">IF(D15+D29+D62=0,"",D15+D29+D62)</f>
        <v>70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  <c r="E11" s="34" t="s">
        <v>119</v>
      </c>
    </row>
    <row r="12" customFormat="false" ht="15" hidden="false" customHeight="false" outlineLevel="0" collapsed="false">
      <c r="A12" s="5" t="s">
        <v>9</v>
      </c>
      <c r="B12" s="5"/>
      <c r="C12" s="7" t="n">
        <v>202403338</v>
      </c>
      <c r="D12" s="7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n">
        <f aca="false">IF(D16+D21+D25=0,"",D16+D21+D25)</f>
        <v>23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n">
        <f aca="false">IF(SUM(D17:D20)=0,"",SUM(D17:D20))</f>
        <v>8</v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 t="n">
        <v>3</v>
      </c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 t="n">
        <v>3</v>
      </c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 t="n">
        <v>2</v>
      </c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 t="n">
        <v>0</v>
      </c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n">
        <f aca="false">IF(SUM(D22:D24)=0,"",SUM(D22:D24))</f>
        <v>7</v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 t="n">
        <v>2</v>
      </c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 t="n">
        <v>3</v>
      </c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 t="n">
        <v>2</v>
      </c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n">
        <f aca="false">IF(SUM(D26:D28)=0,"",SUM(D26:D28))</f>
        <v>8</v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 t="n">
        <v>3</v>
      </c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 t="n">
        <v>2</v>
      </c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 t="n">
        <v>3</v>
      </c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n">
        <f aca="false">IF(D30+D33+D38+D46+D50+D54+D58=0,"",D30+D33+D38+D46+D50+D54+D58)</f>
        <v>38.5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n">
        <f aca="false">IF(SUM(D31:D32)=0,"",SUM(D31:D32))</f>
        <v>3</v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 t="n">
        <v>2</v>
      </c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 t="n">
        <v>1</v>
      </c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n">
        <f aca="false">IF(SUM(D34:D37)=0,"",SUM(D34:D37))</f>
        <v>7</v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 t="n">
        <v>2</v>
      </c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 t="n">
        <v>1</v>
      </c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 t="n">
        <v>1</v>
      </c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 t="n">
        <v>3</v>
      </c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n">
        <f aca="false">IF(SUM(D39:D45)=0,"",SUM(D39:D45))</f>
        <v>12</v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 t="n">
        <v>1</v>
      </c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 t="n">
        <v>2</v>
      </c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 t="n">
        <v>3</v>
      </c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 t="n">
        <v>3</v>
      </c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 t="n">
        <v>2</v>
      </c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 t="n">
        <v>0.5</v>
      </c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 t="n">
        <v>0.5</v>
      </c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n">
        <f aca="false">IF(SUM(D47:D49)=0,"",SUM(D47:D49))</f>
        <v>3.5</v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 t="n">
        <v>2</v>
      </c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 t="n">
        <v>1</v>
      </c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 t="n">
        <v>0.5</v>
      </c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n">
        <f aca="false">IF(SUM(D51:D53)=0,"",SUM(D51:D53))</f>
        <v>6</v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 t="n">
        <v>2</v>
      </c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 t="n">
        <v>2</v>
      </c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 t="n">
        <v>2</v>
      </c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n">
        <f aca="false">IF(SUM(D55:D57)=0,"",SUM(D55:D57))</f>
        <v>3</v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 t="n">
        <v>1</v>
      </c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 t="n">
        <v>2</v>
      </c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 t="n">
        <v>0</v>
      </c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n">
        <f aca="false">IF(SUM(D59:D61)=0,"",SUM(D59:D61))</f>
        <v>4</v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 t="n">
        <v>2</v>
      </c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 t="n">
        <v>1</v>
      </c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 t="n">
        <v>1</v>
      </c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n">
        <f aca="false">IF(D63+D69=0,"",D63+D69)</f>
        <v>14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n">
        <f aca="false">IF(SUM(D64:D68)=0,"",SUM(D64:D68))</f>
        <v>9</v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 t="n">
        <v>3</v>
      </c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 t="n">
        <v>3</v>
      </c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 t="n">
        <v>1</v>
      </c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 t="n">
        <v>2</v>
      </c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 t="n">
        <v>0</v>
      </c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n">
        <f aca="false">IF(SUM(D70:D72)=0,"",SUM(D70:D72))</f>
        <v>5</v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 t="n">
        <v>5</v>
      </c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 t="n">
        <v>0</v>
      </c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 t="n">
        <v>0</v>
      </c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n">
        <f aca="false">IF(D15+D29+D62=0,"",D15+D29+D62)</f>
        <v>75.5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  <c r="E11" s="34" t="s">
        <v>120</v>
      </c>
    </row>
    <row r="12" customFormat="false" ht="15" hidden="false" customHeight="false" outlineLevel="0" collapsed="false">
      <c r="A12" s="5" t="s">
        <v>9</v>
      </c>
      <c r="B12" s="5"/>
      <c r="C12" s="7" t="n">
        <v>202400066</v>
      </c>
      <c r="D12" s="7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n">
        <f aca="false">IF(D16+D21+D25=0,"",D16+D21+D25)</f>
        <v>25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n">
        <f aca="false">IF(SUM(D17:D20)=0,"",SUM(D17:D20))</f>
        <v>10</v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 t="n">
        <v>3</v>
      </c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 t="n">
        <v>3</v>
      </c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 t="n">
        <v>2</v>
      </c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 t="n">
        <v>2</v>
      </c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n">
        <f aca="false">IF(SUM(D22:D24)=0,"",SUM(D22:D24))</f>
        <v>7</v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 t="n">
        <v>2</v>
      </c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 t="n">
        <v>3</v>
      </c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 t="n">
        <v>2</v>
      </c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n">
        <f aca="false">IF(SUM(D26:D28)=0,"",SUM(D26:D28))</f>
        <v>8</v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 t="n">
        <v>3</v>
      </c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 t="n">
        <v>2</v>
      </c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 t="n">
        <v>3</v>
      </c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n">
        <f aca="false">IF(D30+D33+D38+D46+D50+D54+D58=0,"",D30+D33+D38+D46+D50+D54+D58)</f>
        <v>40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n">
        <f aca="false">IF(SUM(D31:D32)=0,"",SUM(D31:D32))</f>
        <v>3</v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 t="n">
        <v>2</v>
      </c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 t="n">
        <v>1</v>
      </c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n">
        <f aca="false">IF(SUM(D34:D37)=0,"",SUM(D34:D37))</f>
        <v>7</v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 t="n">
        <v>2</v>
      </c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 t="n">
        <v>1</v>
      </c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 t="n">
        <v>1</v>
      </c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 t="n">
        <v>3</v>
      </c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n">
        <f aca="false">IF(SUM(D39:D45)=0,"",SUM(D39:D45))</f>
        <v>12</v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 t="n">
        <v>1</v>
      </c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 t="n">
        <v>2</v>
      </c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 t="n">
        <v>3</v>
      </c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 t="n">
        <v>3</v>
      </c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 t="n">
        <v>2</v>
      </c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 t="n">
        <v>0.5</v>
      </c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 t="n">
        <v>0.5</v>
      </c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n">
        <f aca="false">IF(SUM(D47:D49)=0,"",SUM(D47:D49))</f>
        <v>4</v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 t="n">
        <v>2</v>
      </c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 t="n">
        <v>1</v>
      </c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 t="n">
        <v>1</v>
      </c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n">
        <f aca="false">IF(SUM(D51:D53)=0,"",SUM(D51:D53))</f>
        <v>6</v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 t="n">
        <v>2</v>
      </c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 t="n">
        <v>2</v>
      </c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 t="n">
        <v>2</v>
      </c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n">
        <f aca="false">IF(SUM(D55:D57)=0,"",SUM(D55:D57))</f>
        <v>4</v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 t="n">
        <v>1</v>
      </c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 t="n">
        <v>2</v>
      </c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 t="n">
        <v>1</v>
      </c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n">
        <f aca="false">IF(SUM(D59:D61)=0,"",SUM(D59:D61))</f>
        <v>4</v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 t="n">
        <v>2</v>
      </c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 t="n">
        <v>1</v>
      </c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 t="n">
        <v>1</v>
      </c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n">
        <f aca="false">IF(D63+D69=0,"",D63+D69)</f>
        <v>17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n">
        <f aca="false">IF(SUM(D64:D68)=0,"",SUM(D64:D68))</f>
        <v>12</v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 t="n">
        <v>3</v>
      </c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 t="n">
        <v>3</v>
      </c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 t="n">
        <v>3</v>
      </c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 t="n">
        <v>3</v>
      </c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 t="n">
        <v>0</v>
      </c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n">
        <f aca="false">IF(SUM(D70:D72)=0,"",SUM(D70:D72))</f>
        <v>5</v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 t="n">
        <v>5</v>
      </c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 t="n">
        <v>0</v>
      </c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 t="n">
        <v>0</v>
      </c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n">
        <f aca="false">IF(D15+D29+D62=0,"",D15+D29+D62)</f>
        <v>82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2" topLeftCell="A13" activePane="bottomLeft" state="frozen"/>
      <selection pane="topLeft" activeCell="A1" activeCellId="0" sqref="A1"/>
      <selection pane="bottomLeft" activeCell="B14" activeCellId="0" sqref="B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87.3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8.75"/>
    <col collapsed="false" customWidth="true" hidden="false" outlineLevel="0" max="26" min="7" style="0" width="14.38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1" t="s">
        <v>1</v>
      </c>
      <c r="B2" s="2"/>
      <c r="C2" s="2"/>
      <c r="D2" s="2"/>
    </row>
    <row r="3" customFormat="false" ht="15" hidden="false" customHeight="false" outlineLevel="0" collapsed="false">
      <c r="A3" s="1" t="s">
        <v>2</v>
      </c>
      <c r="B3" s="2"/>
      <c r="C3" s="2"/>
      <c r="D3" s="2"/>
    </row>
    <row r="4" customFormat="false" ht="15" hidden="false" customHeight="false" outlineLevel="0" collapsed="false">
      <c r="A4" s="1" t="s">
        <v>3</v>
      </c>
      <c r="B4" s="2"/>
      <c r="C4" s="2"/>
      <c r="D4" s="2"/>
    </row>
    <row r="5" customFormat="false" ht="15" hidden="false" customHeight="false" outlineLevel="0" collapsed="false">
      <c r="A5" s="1" t="s">
        <v>4</v>
      </c>
      <c r="B5" s="2"/>
      <c r="C5" s="2"/>
      <c r="D5" s="2"/>
    </row>
    <row r="6" customFormat="false" ht="15" hidden="false" customHeight="false" outlineLevel="0" collapsed="false">
      <c r="A6" s="1" t="s">
        <v>5</v>
      </c>
      <c r="B6" s="2"/>
      <c r="C6" s="2"/>
      <c r="D6" s="2"/>
    </row>
    <row r="7" customFormat="false" ht="15" hidden="false" customHeight="false" outlineLevel="0" collapsed="false">
      <c r="A7" s="1"/>
      <c r="B7" s="2"/>
      <c r="C7" s="2"/>
      <c r="D7" s="2"/>
    </row>
    <row r="8" customFormat="false" ht="15" hidden="false" customHeight="false" outlineLevel="0" collapsed="false">
      <c r="A8" s="3" t="s">
        <v>6</v>
      </c>
      <c r="B8" s="3"/>
      <c r="C8" s="3"/>
      <c r="D8" s="3"/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5" t="s">
        <v>7</v>
      </c>
      <c r="B10" s="5"/>
      <c r="C10" s="6"/>
      <c r="D10" s="6"/>
    </row>
    <row r="11" customFormat="false" ht="15" hidden="false" customHeight="false" outlineLevel="0" collapsed="false">
      <c r="A11" s="5" t="s">
        <v>8</v>
      </c>
      <c r="B11" s="5"/>
      <c r="C11" s="7" t="e">
        <f aca="false">VLOOKUP(C12, Consolidado!$B$3:$C$26, 2, 0)</f>
        <v>#N/A</v>
      </c>
      <c r="D11" s="7"/>
      <c r="E11" s="34" t="s">
        <v>121</v>
      </c>
    </row>
    <row r="12" customFormat="false" ht="15" hidden="false" customHeight="false" outlineLevel="0" collapsed="false">
      <c r="A12" s="5" t="s">
        <v>9</v>
      </c>
      <c r="B12" s="5"/>
      <c r="C12" s="7" t="n">
        <v>202400155</v>
      </c>
      <c r="D12" s="7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9.5" hidden="false" customHeight="true" outlineLevel="0" collapsed="false">
      <c r="A14" s="8" t="s">
        <v>10</v>
      </c>
      <c r="B14" s="8" t="s">
        <v>11</v>
      </c>
      <c r="C14" s="8" t="s">
        <v>12</v>
      </c>
      <c r="D14" s="8" t="s">
        <v>13</v>
      </c>
    </row>
    <row r="15" customFormat="false" ht="19.5" hidden="false" customHeight="true" outlineLevel="0" collapsed="false">
      <c r="A15" s="9" t="s">
        <v>14</v>
      </c>
      <c r="B15" s="10" t="n">
        <f aca="false">B16+B21+B25</f>
        <v>25</v>
      </c>
      <c r="C15" s="9"/>
      <c r="D15" s="11" t="n">
        <f aca="false">IF(D16+D21+D25=0,"",D16+D21+D25)</f>
        <v>25</v>
      </c>
    </row>
    <row r="16" customFormat="false" ht="18" hidden="false" customHeight="true" outlineLevel="0" collapsed="false">
      <c r="A16" s="12" t="s">
        <v>15</v>
      </c>
      <c r="B16" s="13" t="n">
        <f aca="false">SUM(B17:B20)</f>
        <v>10</v>
      </c>
      <c r="C16" s="12"/>
      <c r="D16" s="14" t="n">
        <f aca="false">IF(SUM(D17:D20)=0,"",SUM(D17:D20))</f>
        <v>10</v>
      </c>
    </row>
    <row r="17" customFormat="false" ht="15" hidden="false" customHeight="true" outlineLevel="0" collapsed="false">
      <c r="A17" s="15" t="s">
        <v>16</v>
      </c>
      <c r="B17" s="16" t="n">
        <v>3</v>
      </c>
      <c r="C17" s="15"/>
      <c r="D17" s="17" t="n">
        <v>3</v>
      </c>
    </row>
    <row r="18" customFormat="false" ht="15" hidden="false" customHeight="true" outlineLevel="0" collapsed="false">
      <c r="A18" s="15" t="s">
        <v>17</v>
      </c>
      <c r="B18" s="16" t="n">
        <v>3</v>
      </c>
      <c r="C18" s="15"/>
      <c r="D18" s="17" t="n">
        <v>3</v>
      </c>
    </row>
    <row r="19" customFormat="false" ht="15" hidden="false" customHeight="true" outlineLevel="0" collapsed="false">
      <c r="A19" s="15" t="s">
        <v>18</v>
      </c>
      <c r="B19" s="16" t="n">
        <v>2</v>
      </c>
      <c r="C19" s="15"/>
      <c r="D19" s="17" t="n">
        <v>2</v>
      </c>
    </row>
    <row r="20" customFormat="false" ht="15" hidden="false" customHeight="true" outlineLevel="0" collapsed="false">
      <c r="A20" s="15" t="s">
        <v>19</v>
      </c>
      <c r="B20" s="16" t="n">
        <v>2</v>
      </c>
      <c r="C20" s="15"/>
      <c r="D20" s="17" t="n">
        <v>2</v>
      </c>
    </row>
    <row r="21" customFormat="false" ht="18" hidden="false" customHeight="true" outlineLevel="0" collapsed="false">
      <c r="A21" s="12" t="s">
        <v>20</v>
      </c>
      <c r="B21" s="13" t="n">
        <f aca="false">SUM(B22:B24)</f>
        <v>7</v>
      </c>
      <c r="C21" s="12"/>
      <c r="D21" s="14" t="n">
        <f aca="false">IF(SUM(D22:D24)=0,"",SUM(D22:D24))</f>
        <v>7</v>
      </c>
    </row>
    <row r="22" customFormat="false" ht="15" hidden="false" customHeight="true" outlineLevel="0" collapsed="false">
      <c r="A22" s="15" t="s">
        <v>21</v>
      </c>
      <c r="B22" s="16" t="n">
        <v>2</v>
      </c>
      <c r="C22" s="15"/>
      <c r="D22" s="17" t="n">
        <v>2</v>
      </c>
    </row>
    <row r="23" customFormat="false" ht="15" hidden="false" customHeight="true" outlineLevel="0" collapsed="false">
      <c r="A23" s="15" t="s">
        <v>22</v>
      </c>
      <c r="B23" s="16" t="n">
        <v>3</v>
      </c>
      <c r="C23" s="15"/>
      <c r="D23" s="17" t="n">
        <v>3</v>
      </c>
    </row>
    <row r="24" customFormat="false" ht="15" hidden="false" customHeight="true" outlineLevel="0" collapsed="false">
      <c r="A24" s="15" t="s">
        <v>23</v>
      </c>
      <c r="B24" s="16" t="n">
        <v>2</v>
      </c>
      <c r="C24" s="15"/>
      <c r="D24" s="17" t="n">
        <v>2</v>
      </c>
    </row>
    <row r="25" customFormat="false" ht="18" hidden="false" customHeight="true" outlineLevel="0" collapsed="false">
      <c r="A25" s="12" t="s">
        <v>24</v>
      </c>
      <c r="B25" s="13" t="n">
        <f aca="false">SUM(B26:B28)</f>
        <v>8</v>
      </c>
      <c r="C25" s="12"/>
      <c r="D25" s="14" t="n">
        <f aca="false">IF(SUM(D26:D28)=0,"",SUM(D26:D28))</f>
        <v>8</v>
      </c>
    </row>
    <row r="26" customFormat="false" ht="16.5" hidden="false" customHeight="true" outlineLevel="0" collapsed="false">
      <c r="A26" s="15" t="s">
        <v>25</v>
      </c>
      <c r="B26" s="16" t="n">
        <v>3</v>
      </c>
      <c r="C26" s="15"/>
      <c r="D26" s="17" t="n">
        <v>3</v>
      </c>
    </row>
    <row r="27" customFormat="false" ht="15" hidden="false" customHeight="true" outlineLevel="0" collapsed="false">
      <c r="A27" s="15" t="s">
        <v>26</v>
      </c>
      <c r="B27" s="16" t="n">
        <v>2</v>
      </c>
      <c r="C27" s="15"/>
      <c r="D27" s="17" t="n">
        <v>2</v>
      </c>
    </row>
    <row r="28" customFormat="false" ht="15" hidden="false" customHeight="true" outlineLevel="0" collapsed="false">
      <c r="A28" s="15" t="s">
        <v>27</v>
      </c>
      <c r="B28" s="16" t="n">
        <v>3</v>
      </c>
      <c r="C28" s="15"/>
      <c r="D28" s="17" t="n">
        <v>3</v>
      </c>
    </row>
    <row r="29" customFormat="false" ht="19.5" hidden="false" customHeight="true" outlineLevel="0" collapsed="false">
      <c r="A29" s="9" t="s">
        <v>28</v>
      </c>
      <c r="B29" s="10" t="n">
        <f aca="false">B30+B33+B38+B46+B50+B54+B58</f>
        <v>40</v>
      </c>
      <c r="C29" s="9"/>
      <c r="D29" s="11" t="n">
        <f aca="false">IF(D30+D33+D38+D46+D50+D54+D58=0,"",D30+D33+D38+D46+D50+D54+D58)</f>
        <v>36</v>
      </c>
    </row>
    <row r="30" customFormat="false" ht="18" hidden="false" customHeight="true" outlineLevel="0" collapsed="false">
      <c r="A30" s="12" t="s">
        <v>29</v>
      </c>
      <c r="B30" s="13" t="n">
        <f aca="false">SUM(B31:B32)</f>
        <v>3</v>
      </c>
      <c r="C30" s="12"/>
      <c r="D30" s="14" t="n">
        <f aca="false">IF(SUM(D31:D32)=0,"",SUM(D31:D32))</f>
        <v>3</v>
      </c>
    </row>
    <row r="31" customFormat="false" ht="15" hidden="false" customHeight="true" outlineLevel="0" collapsed="false">
      <c r="A31" s="18" t="s">
        <v>30</v>
      </c>
      <c r="B31" s="16" t="n">
        <v>2</v>
      </c>
      <c r="C31" s="15"/>
      <c r="D31" s="17" t="n">
        <v>2</v>
      </c>
    </row>
    <row r="32" customFormat="false" ht="15" hidden="false" customHeight="true" outlineLevel="0" collapsed="false">
      <c r="A32" s="18" t="s">
        <v>31</v>
      </c>
      <c r="B32" s="16" t="n">
        <v>1</v>
      </c>
      <c r="C32" s="15"/>
      <c r="D32" s="17" t="n">
        <v>1</v>
      </c>
    </row>
    <row r="33" customFormat="false" ht="18" hidden="false" customHeight="true" outlineLevel="0" collapsed="false">
      <c r="A33" s="12" t="s">
        <v>32</v>
      </c>
      <c r="B33" s="13" t="n">
        <f aca="false">SUM(B34:B37)</f>
        <v>7</v>
      </c>
      <c r="C33" s="12"/>
      <c r="D33" s="14" t="n">
        <f aca="false">IF(SUM(D34:D37)=0,"",SUM(D34:D37))</f>
        <v>7</v>
      </c>
    </row>
    <row r="34" customFormat="false" ht="15" hidden="false" customHeight="true" outlineLevel="0" collapsed="false">
      <c r="A34" s="18" t="s">
        <v>33</v>
      </c>
      <c r="B34" s="16" t="n">
        <v>2</v>
      </c>
      <c r="C34" s="15"/>
      <c r="D34" s="17" t="n">
        <v>2</v>
      </c>
    </row>
    <row r="35" customFormat="false" ht="15" hidden="false" customHeight="true" outlineLevel="0" collapsed="false">
      <c r="A35" s="18" t="s">
        <v>34</v>
      </c>
      <c r="B35" s="16" t="n">
        <v>1</v>
      </c>
      <c r="C35" s="15"/>
      <c r="D35" s="17" t="n">
        <v>1</v>
      </c>
    </row>
    <row r="36" customFormat="false" ht="15" hidden="false" customHeight="true" outlineLevel="0" collapsed="false">
      <c r="A36" s="18" t="s">
        <v>35</v>
      </c>
      <c r="B36" s="16" t="n">
        <v>1</v>
      </c>
      <c r="C36" s="15"/>
      <c r="D36" s="17" t="n">
        <v>1</v>
      </c>
    </row>
    <row r="37" customFormat="false" ht="15" hidden="false" customHeight="true" outlineLevel="0" collapsed="false">
      <c r="A37" s="18" t="s">
        <v>36</v>
      </c>
      <c r="B37" s="16" t="n">
        <v>3</v>
      </c>
      <c r="C37" s="15"/>
      <c r="D37" s="17" t="n">
        <v>3</v>
      </c>
    </row>
    <row r="38" customFormat="false" ht="18" hidden="false" customHeight="true" outlineLevel="0" collapsed="false">
      <c r="A38" s="12" t="s">
        <v>37</v>
      </c>
      <c r="B38" s="13" t="n">
        <f aca="false">SUM(B39:B45)</f>
        <v>12</v>
      </c>
      <c r="C38" s="12"/>
      <c r="D38" s="14" t="n">
        <f aca="false">IF(SUM(D39:D45)=0,"",SUM(D39:D45))</f>
        <v>12</v>
      </c>
    </row>
    <row r="39" customFormat="false" ht="15" hidden="false" customHeight="true" outlineLevel="0" collapsed="false">
      <c r="A39" s="18" t="s">
        <v>38</v>
      </c>
      <c r="B39" s="16" t="n">
        <v>1</v>
      </c>
      <c r="C39" s="15"/>
      <c r="D39" s="17" t="n">
        <v>1</v>
      </c>
    </row>
    <row r="40" customFormat="false" ht="15" hidden="false" customHeight="true" outlineLevel="0" collapsed="false">
      <c r="A40" s="18" t="s">
        <v>39</v>
      </c>
      <c r="B40" s="16" t="n">
        <v>2</v>
      </c>
      <c r="C40" s="15"/>
      <c r="D40" s="17" t="n">
        <v>2</v>
      </c>
    </row>
    <row r="41" customFormat="false" ht="15" hidden="false" customHeight="true" outlineLevel="0" collapsed="false">
      <c r="A41" s="18" t="s">
        <v>40</v>
      </c>
      <c r="B41" s="16" t="n">
        <v>3</v>
      </c>
      <c r="C41" s="15"/>
      <c r="D41" s="17" t="n">
        <v>3</v>
      </c>
    </row>
    <row r="42" customFormat="false" ht="15" hidden="false" customHeight="true" outlineLevel="0" collapsed="false">
      <c r="A42" s="19" t="s">
        <v>41</v>
      </c>
      <c r="B42" s="16" t="n">
        <v>3</v>
      </c>
      <c r="C42" s="15"/>
      <c r="D42" s="17" t="n">
        <v>3</v>
      </c>
    </row>
    <row r="43" customFormat="false" ht="15" hidden="false" customHeight="true" outlineLevel="0" collapsed="false">
      <c r="A43" s="19" t="s">
        <v>42</v>
      </c>
      <c r="B43" s="16" t="n">
        <v>2</v>
      </c>
      <c r="C43" s="15"/>
      <c r="D43" s="17" t="n">
        <v>2</v>
      </c>
    </row>
    <row r="44" customFormat="false" ht="15" hidden="false" customHeight="true" outlineLevel="0" collapsed="false">
      <c r="A44" s="19" t="s">
        <v>43</v>
      </c>
      <c r="B44" s="16" t="n">
        <v>0.5</v>
      </c>
      <c r="C44" s="15"/>
      <c r="D44" s="17" t="n">
        <v>0.5</v>
      </c>
    </row>
    <row r="45" customFormat="false" ht="15" hidden="false" customHeight="true" outlineLevel="0" collapsed="false">
      <c r="A45" s="19" t="s">
        <v>44</v>
      </c>
      <c r="B45" s="16" t="n">
        <v>0.5</v>
      </c>
      <c r="C45" s="15"/>
      <c r="D45" s="17" t="n">
        <v>0.5</v>
      </c>
    </row>
    <row r="46" customFormat="false" ht="18" hidden="false" customHeight="true" outlineLevel="0" collapsed="false">
      <c r="A46" s="12" t="s">
        <v>45</v>
      </c>
      <c r="B46" s="13" t="n">
        <f aca="false">SUM(B47:B49)</f>
        <v>4</v>
      </c>
      <c r="C46" s="12"/>
      <c r="D46" s="14" t="n">
        <f aca="false">IF(SUM(D47:D49)=0,"",SUM(D47:D49))</f>
        <v>4</v>
      </c>
    </row>
    <row r="47" customFormat="false" ht="15" hidden="false" customHeight="true" outlineLevel="0" collapsed="false">
      <c r="A47" s="18" t="s">
        <v>46</v>
      </c>
      <c r="B47" s="16" t="n">
        <v>2</v>
      </c>
      <c r="C47" s="15"/>
      <c r="D47" s="17" t="n">
        <v>2</v>
      </c>
    </row>
    <row r="48" customFormat="false" ht="15" hidden="false" customHeight="true" outlineLevel="0" collapsed="false">
      <c r="A48" s="18" t="s">
        <v>47</v>
      </c>
      <c r="B48" s="16" t="n">
        <v>1</v>
      </c>
      <c r="C48" s="15"/>
      <c r="D48" s="17" t="n">
        <v>1</v>
      </c>
    </row>
    <row r="49" customFormat="false" ht="15" hidden="false" customHeight="true" outlineLevel="0" collapsed="false">
      <c r="A49" s="18" t="s">
        <v>48</v>
      </c>
      <c r="B49" s="16" t="n">
        <v>1</v>
      </c>
      <c r="C49" s="15"/>
      <c r="D49" s="17" t="n">
        <v>1</v>
      </c>
    </row>
    <row r="50" customFormat="false" ht="18" hidden="false" customHeight="true" outlineLevel="0" collapsed="false">
      <c r="A50" s="12" t="s">
        <v>49</v>
      </c>
      <c r="B50" s="13" t="n">
        <f aca="false">SUM(B51:B53)</f>
        <v>6</v>
      </c>
      <c r="C50" s="12"/>
      <c r="D50" s="14" t="n">
        <f aca="false">IF(SUM(D51:D53)=0,"",SUM(D51:D53))</f>
        <v>6</v>
      </c>
    </row>
    <row r="51" customFormat="false" ht="15" hidden="false" customHeight="true" outlineLevel="0" collapsed="false">
      <c r="A51" s="18" t="s">
        <v>50</v>
      </c>
      <c r="B51" s="16" t="n">
        <v>2</v>
      </c>
      <c r="C51" s="15"/>
      <c r="D51" s="17" t="n">
        <v>2</v>
      </c>
    </row>
    <row r="52" customFormat="false" ht="15" hidden="false" customHeight="true" outlineLevel="0" collapsed="false">
      <c r="A52" s="18" t="s">
        <v>51</v>
      </c>
      <c r="B52" s="16" t="n">
        <v>2</v>
      </c>
      <c r="C52" s="15"/>
      <c r="D52" s="17" t="n">
        <v>2</v>
      </c>
    </row>
    <row r="53" customFormat="false" ht="15" hidden="false" customHeight="true" outlineLevel="0" collapsed="false">
      <c r="A53" s="18" t="s">
        <v>52</v>
      </c>
      <c r="B53" s="16" t="n">
        <v>2</v>
      </c>
      <c r="C53" s="15"/>
      <c r="D53" s="17" t="n">
        <v>2</v>
      </c>
    </row>
    <row r="54" customFormat="false" ht="18" hidden="false" customHeight="true" outlineLevel="0" collapsed="false">
      <c r="A54" s="12" t="s">
        <v>53</v>
      </c>
      <c r="B54" s="13" t="n">
        <f aca="false">SUM(B55:B57)</f>
        <v>4</v>
      </c>
      <c r="C54" s="12"/>
      <c r="D54" s="14" t="n">
        <f aca="false">IF(SUM(D55:D57)=0,"",SUM(D55:D57))</f>
        <v>1</v>
      </c>
    </row>
    <row r="55" customFormat="false" ht="15" hidden="false" customHeight="true" outlineLevel="0" collapsed="false">
      <c r="A55" s="18" t="s">
        <v>54</v>
      </c>
      <c r="B55" s="16" t="n">
        <v>1</v>
      </c>
      <c r="C55" s="15"/>
      <c r="D55" s="17" t="n">
        <v>1</v>
      </c>
    </row>
    <row r="56" customFormat="false" ht="15" hidden="false" customHeight="true" outlineLevel="0" collapsed="false">
      <c r="A56" s="18" t="s">
        <v>55</v>
      </c>
      <c r="B56" s="16" t="n">
        <v>2</v>
      </c>
      <c r="C56" s="15"/>
      <c r="D56" s="17" t="n">
        <v>0</v>
      </c>
    </row>
    <row r="57" customFormat="false" ht="15" hidden="false" customHeight="true" outlineLevel="0" collapsed="false">
      <c r="A57" s="18" t="s">
        <v>56</v>
      </c>
      <c r="B57" s="16" t="n">
        <v>1</v>
      </c>
      <c r="C57" s="15"/>
      <c r="D57" s="17" t="n">
        <v>0</v>
      </c>
    </row>
    <row r="58" customFormat="false" ht="18" hidden="false" customHeight="true" outlineLevel="0" collapsed="false">
      <c r="A58" s="12" t="s">
        <v>57</v>
      </c>
      <c r="B58" s="13" t="n">
        <f aca="false">SUM(B59:B61)</f>
        <v>4</v>
      </c>
      <c r="C58" s="12"/>
      <c r="D58" s="14" t="n">
        <f aca="false">IF(SUM(D59:D61)=0,"",SUM(D59:D61))</f>
        <v>3</v>
      </c>
    </row>
    <row r="59" customFormat="false" ht="15" hidden="false" customHeight="true" outlineLevel="0" collapsed="false">
      <c r="A59" s="18" t="s">
        <v>58</v>
      </c>
      <c r="B59" s="16" t="n">
        <v>2</v>
      </c>
      <c r="C59" s="15"/>
      <c r="D59" s="17" t="n">
        <v>2</v>
      </c>
    </row>
    <row r="60" customFormat="false" ht="15" hidden="false" customHeight="true" outlineLevel="0" collapsed="false">
      <c r="A60" s="18" t="s">
        <v>59</v>
      </c>
      <c r="B60" s="16" t="n">
        <v>1</v>
      </c>
      <c r="C60" s="15"/>
      <c r="D60" s="17" t="n">
        <v>1</v>
      </c>
    </row>
    <row r="61" customFormat="false" ht="15" hidden="false" customHeight="true" outlineLevel="0" collapsed="false">
      <c r="A61" s="18" t="s">
        <v>60</v>
      </c>
      <c r="B61" s="16" t="n">
        <v>1</v>
      </c>
      <c r="C61" s="15"/>
      <c r="D61" s="17" t="n">
        <v>0</v>
      </c>
    </row>
    <row r="62" customFormat="false" ht="19.5" hidden="false" customHeight="true" outlineLevel="0" collapsed="false">
      <c r="A62" s="9" t="s">
        <v>61</v>
      </c>
      <c r="B62" s="10" t="n">
        <f aca="false">B63+B69</f>
        <v>35</v>
      </c>
      <c r="C62" s="9"/>
      <c r="D62" s="11" t="n">
        <f aca="false">IF(D63+D69=0,"",D63+D69)</f>
        <v>5.5</v>
      </c>
    </row>
    <row r="63" customFormat="false" ht="18" hidden="false" customHeight="true" outlineLevel="0" collapsed="false">
      <c r="A63" s="12" t="s">
        <v>62</v>
      </c>
      <c r="B63" s="13" t="n">
        <f aca="false">SUM(B64:B68)</f>
        <v>15</v>
      </c>
      <c r="C63" s="12"/>
      <c r="D63" s="14" t="n">
        <f aca="false">IF(SUM(D64:D68)=0,"",SUM(D64:D68))</f>
        <v>0.5</v>
      </c>
    </row>
    <row r="64" customFormat="false" ht="15" hidden="false" customHeight="true" outlineLevel="0" collapsed="false">
      <c r="A64" s="15" t="s">
        <v>63</v>
      </c>
      <c r="B64" s="16" t="n">
        <v>3</v>
      </c>
      <c r="C64" s="15"/>
      <c r="D64" s="17" t="n">
        <v>0</v>
      </c>
    </row>
    <row r="65" customFormat="false" ht="15" hidden="false" customHeight="true" outlineLevel="0" collapsed="false">
      <c r="A65" s="15" t="s">
        <v>64</v>
      </c>
      <c r="B65" s="16" t="n">
        <v>3</v>
      </c>
      <c r="C65" s="15"/>
      <c r="D65" s="17" t="n">
        <v>0</v>
      </c>
    </row>
    <row r="66" customFormat="false" ht="15" hidden="false" customHeight="true" outlineLevel="0" collapsed="false">
      <c r="A66" s="15" t="s">
        <v>65</v>
      </c>
      <c r="B66" s="16" t="n">
        <v>3</v>
      </c>
      <c r="C66" s="15"/>
      <c r="D66" s="17" t="n">
        <v>0</v>
      </c>
    </row>
    <row r="67" customFormat="false" ht="15" hidden="false" customHeight="true" outlineLevel="0" collapsed="false">
      <c r="A67" s="15" t="s">
        <v>66</v>
      </c>
      <c r="B67" s="16" t="n">
        <v>3</v>
      </c>
      <c r="C67" s="15"/>
      <c r="D67" s="17" t="n">
        <v>0</v>
      </c>
    </row>
    <row r="68" customFormat="false" ht="15" hidden="false" customHeight="true" outlineLevel="0" collapsed="false">
      <c r="A68" s="15" t="s">
        <v>67</v>
      </c>
      <c r="B68" s="16" t="n">
        <v>3</v>
      </c>
      <c r="C68" s="15"/>
      <c r="D68" s="17" t="n">
        <v>0.5</v>
      </c>
    </row>
    <row r="69" customFormat="false" ht="18" hidden="false" customHeight="true" outlineLevel="0" collapsed="false">
      <c r="A69" s="12" t="s">
        <v>68</v>
      </c>
      <c r="B69" s="13" t="n">
        <f aca="false">SUM(B70:B72)</f>
        <v>20</v>
      </c>
      <c r="C69" s="12"/>
      <c r="D69" s="14" t="n">
        <f aca="false">IF(SUM(D70:D72)=0,"",SUM(D70:D72))</f>
        <v>5</v>
      </c>
    </row>
    <row r="70" customFormat="false" ht="15" hidden="false" customHeight="true" outlineLevel="0" collapsed="false">
      <c r="A70" s="15" t="s">
        <v>69</v>
      </c>
      <c r="B70" s="16" t="n">
        <v>5</v>
      </c>
      <c r="C70" s="15"/>
      <c r="D70" s="17" t="n">
        <v>5</v>
      </c>
    </row>
    <row r="71" customFormat="false" ht="15" hidden="false" customHeight="true" outlineLevel="0" collapsed="false">
      <c r="A71" s="15" t="s">
        <v>70</v>
      </c>
      <c r="B71" s="16" t="n">
        <v>8</v>
      </c>
      <c r="C71" s="15"/>
      <c r="D71" s="17" t="n">
        <v>0</v>
      </c>
    </row>
    <row r="72" customFormat="false" ht="15" hidden="false" customHeight="true" outlineLevel="0" collapsed="false">
      <c r="A72" s="15" t="s">
        <v>71</v>
      </c>
      <c r="B72" s="16" t="n">
        <v>7</v>
      </c>
      <c r="C72" s="15"/>
      <c r="D72" s="17" t="n">
        <v>0</v>
      </c>
    </row>
    <row r="73" customFormat="false" ht="19.5" hidden="false" customHeight="true" outlineLevel="0" collapsed="false">
      <c r="A73" s="20" t="s">
        <v>72</v>
      </c>
      <c r="B73" s="21" t="n">
        <f aca="false">B15+B29+B62</f>
        <v>100</v>
      </c>
      <c r="C73" s="22"/>
      <c r="D73" s="23" t="n">
        <f aca="false">IF(D15+D29+D62=0,"",D15+D29+D62)</f>
        <v>66.5</v>
      </c>
    </row>
    <row r="74" customFormat="false" ht="1.5" hidden="false" customHeight="true" outlineLevel="0" collapsed="false">
      <c r="A74" s="2"/>
      <c r="B74" s="2"/>
      <c r="C74" s="2"/>
      <c r="D74" s="2"/>
    </row>
    <row r="75" customFormat="false" ht="15.75" hidden="false" customHeight="true" outlineLevel="0" collapsed="false">
      <c r="A75" s="1" t="s">
        <v>73</v>
      </c>
      <c r="B75" s="2"/>
      <c r="C75" s="2"/>
      <c r="D75" s="2"/>
    </row>
    <row r="76" customFormat="false" ht="15.75" hidden="false" customHeight="true" outlineLevel="0" collapsed="false">
      <c r="A76" s="8" t="s">
        <v>74</v>
      </c>
      <c r="B76" s="8" t="s">
        <v>75</v>
      </c>
      <c r="C76" s="8" t="s">
        <v>12</v>
      </c>
      <c r="D76" s="8"/>
    </row>
    <row r="77" customFormat="false" ht="15.75" hidden="false" customHeight="true" outlineLevel="0" collapsed="false">
      <c r="A77" s="15" t="s">
        <v>76</v>
      </c>
      <c r="B77" s="24"/>
      <c r="C77" s="25"/>
      <c r="D77" s="26"/>
    </row>
    <row r="78" customFormat="false" ht="15.75" hidden="false" customHeight="true" outlineLevel="0" collapsed="false">
      <c r="A78" s="15" t="s">
        <v>77</v>
      </c>
      <c r="B78" s="24"/>
      <c r="C78" s="25"/>
      <c r="D78" s="26"/>
    </row>
    <row r="79" customFormat="false" ht="15.75" hidden="false" customHeight="true" outlineLevel="0" collapsed="false">
      <c r="A79" s="15" t="s">
        <v>78</v>
      </c>
      <c r="B79" s="24"/>
      <c r="C79" s="25"/>
      <c r="D79" s="26"/>
    </row>
    <row r="80" customFormat="false" ht="15.75" hidden="false" customHeight="true" outlineLevel="0" collapsed="false">
      <c r="A80" s="15" t="s">
        <v>79</v>
      </c>
      <c r="B80" s="24"/>
      <c r="C80" s="25"/>
      <c r="D80" s="26"/>
    </row>
    <row r="81" customFormat="false" ht="15.75" hidden="false" customHeight="true" outlineLevel="0" collapsed="false">
      <c r="A81" s="15" t="s">
        <v>80</v>
      </c>
      <c r="B81" s="24"/>
      <c r="C81" s="25"/>
      <c r="D81" s="26"/>
    </row>
    <row r="82" customFormat="false" ht="15.75" hidden="false" customHeight="true" outlineLevel="0" collapsed="false">
      <c r="A82" s="15" t="s">
        <v>81</v>
      </c>
      <c r="B82" s="24"/>
      <c r="C82" s="25"/>
      <c r="D82" s="26"/>
    </row>
    <row r="83" customFormat="false" ht="1.5" hidden="false" customHeight="true" outlineLevel="0" collapsed="false">
      <c r="A83" s="2"/>
      <c r="B83" s="2"/>
      <c r="C83" s="2"/>
      <c r="D83" s="2"/>
    </row>
    <row r="84" customFormat="false" ht="15.75" hidden="false" customHeight="true" outlineLevel="0" collapsed="false">
      <c r="A84" s="1" t="s">
        <v>82</v>
      </c>
      <c r="B84" s="2"/>
      <c r="C84" s="2"/>
      <c r="D84" s="2"/>
    </row>
    <row r="85" customFormat="false" ht="15.75" hidden="false" customHeight="true" outlineLevel="0" collapsed="false">
      <c r="A85" s="8" t="s">
        <v>83</v>
      </c>
      <c r="B85" s="8" t="s">
        <v>84</v>
      </c>
      <c r="C85" s="8" t="s">
        <v>85</v>
      </c>
      <c r="D85" s="8" t="s">
        <v>86</v>
      </c>
    </row>
    <row r="86" customFormat="false" ht="15.75" hidden="false" customHeight="true" outlineLevel="0" collapsed="false">
      <c r="A86" s="15" t="s">
        <v>87</v>
      </c>
      <c r="B86" s="27" t="n">
        <v>-0.3</v>
      </c>
      <c r="C86" s="24"/>
      <c r="D86" s="28" t="str">
        <f aca="false">IF(C86="Sí",$D$73*B86,"")</f>
        <v/>
      </c>
    </row>
    <row r="87" customFormat="false" ht="15.75" hidden="false" customHeight="true" outlineLevel="0" collapsed="false">
      <c r="A87" s="15" t="s">
        <v>88</v>
      </c>
      <c r="B87" s="27" t="n">
        <v>-0.2</v>
      </c>
      <c r="C87" s="24"/>
      <c r="D87" s="28" t="str">
        <f aca="false">IF(C87="Sí",$D$73*B87,"")</f>
        <v/>
      </c>
    </row>
    <row r="88" customFormat="false" ht="15.75" hidden="false" customHeight="true" outlineLevel="0" collapsed="false">
      <c r="A88" s="15" t="s">
        <v>89</v>
      </c>
      <c r="B88" s="27" t="n">
        <v>-1</v>
      </c>
      <c r="C88" s="24"/>
      <c r="D88" s="28" t="str">
        <f aca="false">IF(C88="Sí",$D$73*B88,"")</f>
        <v/>
      </c>
    </row>
    <row r="89" customFormat="false" ht="15.75" hidden="false" customHeight="true" outlineLevel="0" collapsed="false">
      <c r="A89" s="15" t="s">
        <v>90</v>
      </c>
      <c r="B89" s="27" t="n">
        <v>-0.2</v>
      </c>
      <c r="C89" s="24"/>
      <c r="D89" s="28" t="str">
        <f aca="false">IF(C89="Sí",$D$73*B89,"")</f>
        <v/>
      </c>
    </row>
    <row r="90" customFormat="false" ht="15.75" hidden="false" customHeight="true" outlineLevel="0" collapsed="false">
      <c r="A90" s="15" t="s">
        <v>91</v>
      </c>
      <c r="B90" s="27" t="n">
        <v>-1</v>
      </c>
      <c r="C90" s="24"/>
      <c r="D90" s="28" t="str">
        <f aca="false">IF(C90="Sí",$D$73*B90,"")</f>
        <v/>
      </c>
    </row>
    <row r="91" customFormat="false" ht="15.75" hidden="false" customHeight="true" outlineLevel="0" collapsed="false">
      <c r="A91" s="15" t="s">
        <v>92</v>
      </c>
      <c r="B91" s="27" t="n">
        <v>-0.75</v>
      </c>
      <c r="C91" s="24"/>
      <c r="D91" s="28" t="str">
        <f aca="false">IF(C91="Sí",$D$73*B91,"")</f>
        <v/>
      </c>
    </row>
    <row r="92" customFormat="false" ht="15.75" hidden="false" customHeight="true" outlineLevel="0" collapsed="false">
      <c r="A92" s="15" t="s">
        <v>93</v>
      </c>
      <c r="B92" s="27" t="n">
        <v>-0.75</v>
      </c>
      <c r="C92" s="24"/>
      <c r="D92" s="28" t="str">
        <f aca="false">IF(C92="Sí",$D$73*B92,"")</f>
        <v/>
      </c>
    </row>
    <row r="93" customFormat="false" ht="15.75" hidden="false" customHeight="true" outlineLevel="0" collapsed="false">
      <c r="A93" s="15" t="s">
        <v>94</v>
      </c>
      <c r="B93" s="27" t="n">
        <v>-1</v>
      </c>
      <c r="C93" s="24"/>
      <c r="D93" s="28" t="str">
        <f aca="false">IF(C93="Sí",$D$73*B93,"")</f>
        <v/>
      </c>
    </row>
    <row r="94" customFormat="false" ht="15.75" hidden="false" customHeight="true" outlineLevel="0" collapsed="false">
      <c r="A94" s="15" t="s">
        <v>95</v>
      </c>
      <c r="B94" s="27" t="n">
        <v>-0.5</v>
      </c>
      <c r="C94" s="24"/>
      <c r="D94" s="28" t="str">
        <f aca="false">IF(C94="Sí",$D$73*B94,"")</f>
        <v/>
      </c>
    </row>
    <row r="95" customFormat="false" ht="15.75" hidden="false" customHeight="true" outlineLevel="0" collapsed="false">
      <c r="A95" s="15" t="s">
        <v>96</v>
      </c>
      <c r="B95" s="27" t="n">
        <v>-1</v>
      </c>
      <c r="C95" s="24"/>
      <c r="D95" s="28" t="str">
        <f aca="false">IF(C95="Sí",$D$73*B95,"")</f>
        <v/>
      </c>
    </row>
    <row r="96" customFormat="false" ht="15.75" hidden="false" customHeight="true" outlineLevel="0" collapsed="false">
      <c r="A96" s="15" t="s">
        <v>97</v>
      </c>
      <c r="B96" s="27" t="n">
        <v>-1</v>
      </c>
      <c r="C96" s="24"/>
      <c r="D96" s="28" t="str">
        <f aca="false">IF(C96="Sí",$D$73*B96,"")</f>
        <v/>
      </c>
    </row>
    <row r="97" customFormat="false" ht="15.75" hidden="false" customHeight="true" outlineLevel="0" collapsed="false">
      <c r="A97" s="15" t="s">
        <v>98</v>
      </c>
      <c r="B97" s="27" t="n">
        <v>-0.25</v>
      </c>
      <c r="C97" s="24"/>
      <c r="D97" s="28" t="str">
        <f aca="false">IF(C97="Sí",$D$73*B97,"")</f>
        <v/>
      </c>
    </row>
    <row r="98" customFormat="false" ht="15.75" hidden="false" customHeight="true" outlineLevel="0" collapsed="false">
      <c r="A98" s="15" t="s">
        <v>99</v>
      </c>
      <c r="B98" s="27" t="n">
        <v>-1</v>
      </c>
      <c r="C98" s="24"/>
      <c r="D98" s="28" t="str">
        <f aca="false">IF(C98="Sí",$D$73*B98,"")</f>
        <v/>
      </c>
    </row>
    <row r="99" customFormat="false" ht="15.75" hidden="false" customHeight="true" outlineLevel="0" collapsed="false">
      <c r="A99" s="15" t="s">
        <v>100</v>
      </c>
      <c r="B99" s="27" t="n">
        <v>-1</v>
      </c>
      <c r="C99" s="24"/>
      <c r="D99" s="28" t="str">
        <f aca="false">IF(C99="Sí",$D$73*B99,"")</f>
        <v/>
      </c>
    </row>
    <row r="100" customFormat="false" ht="15.75" hidden="false" customHeight="true" outlineLevel="0" collapsed="false">
      <c r="A100" s="15" t="s">
        <v>101</v>
      </c>
      <c r="B100" s="27" t="n">
        <v>-1</v>
      </c>
      <c r="C100" s="24"/>
      <c r="D100" s="28" t="str">
        <f aca="false">IF(C100="Sí",$D$73*B100,"")</f>
        <v/>
      </c>
    </row>
    <row r="101" customFormat="false" ht="15.75" hidden="false" customHeight="true" outlineLevel="0" collapsed="false">
      <c r="A101" s="15" t="s">
        <v>102</v>
      </c>
      <c r="B101" s="27" t="n">
        <v>-1</v>
      </c>
      <c r="C101" s="24"/>
      <c r="D101" s="28" t="str">
        <f aca="false">IF(C101="Sí",$D$73*B101,"")</f>
        <v/>
      </c>
    </row>
    <row r="102" customFormat="false" ht="15.75" hidden="false" customHeight="true" outlineLevel="0" collapsed="false">
      <c r="A102" s="15" t="s">
        <v>103</v>
      </c>
      <c r="B102" s="27" t="n">
        <v>-1</v>
      </c>
      <c r="C102" s="24"/>
      <c r="D102" s="28" t="str">
        <f aca="false">IF(C102="Sí",$D$73*B102,"")</f>
        <v/>
      </c>
    </row>
    <row r="103" customFormat="false" ht="15.75" hidden="false" customHeight="true" outlineLevel="0" collapsed="false">
      <c r="A103" s="20" t="s">
        <v>104</v>
      </c>
      <c r="B103" s="22"/>
      <c r="C103" s="22"/>
      <c r="D103" s="23" t="str">
        <f aca="false">IF(SUM(D86:D101)=0,"",SUM(D86:D101))</f>
        <v/>
      </c>
    </row>
    <row r="104" customFormat="false" ht="1.5" hidden="false" customHeight="true" outlineLevel="0" collapsed="false">
      <c r="A104" s="2"/>
      <c r="B104" s="2"/>
      <c r="C104" s="2"/>
      <c r="D104" s="2"/>
    </row>
    <row r="105" customFormat="false" ht="21.75" hidden="false" customHeight="true" outlineLevel="0" collapsed="false">
      <c r="A105" s="29" t="s">
        <v>105</v>
      </c>
      <c r="B105" s="30"/>
      <c r="C105" s="30"/>
      <c r="D105" s="31" t="e">
        <f aca="false">IF(MAX(0,ROUND($D$73+$D$103,2))=0,"",MAX(0,ROUND($D$73+$D$103,2)))</f>
        <v>#VALUE!</v>
      </c>
    </row>
    <row r="106" customFormat="false" ht="1.5" hidden="false" customHeight="true" outlineLevel="0" collapsed="false">
      <c r="A106" s="2"/>
      <c r="B106" s="2"/>
      <c r="C106" s="2"/>
      <c r="D106" s="2"/>
    </row>
    <row r="107" customFormat="false" ht="15.75" hidden="false" customHeight="true" outlineLevel="0" collapsed="false">
      <c r="A107" s="32" t="s">
        <v>106</v>
      </c>
      <c r="B107" s="2"/>
      <c r="C107" s="2"/>
      <c r="D107" s="2"/>
    </row>
    <row r="108" customFormat="false" ht="18" hidden="false" customHeight="true" outlineLevel="0" collapsed="false">
      <c r="A108" s="25"/>
      <c r="B108" s="25"/>
      <c r="C108" s="25"/>
      <c r="D108" s="25"/>
    </row>
    <row r="109" customFormat="false" ht="18" hidden="false" customHeight="true" outlineLevel="0" collapsed="false">
      <c r="A109" s="25"/>
      <c r="B109" s="25"/>
      <c r="C109" s="25"/>
      <c r="D109" s="25"/>
    </row>
    <row r="110" customFormat="false" ht="3" hidden="false" customHeight="true" outlineLevel="0" collapsed="false">
      <c r="A110" s="2"/>
      <c r="B110" s="2"/>
      <c r="C110" s="2"/>
      <c r="D110" s="2"/>
    </row>
    <row r="111" customFormat="false" ht="12" hidden="false" customHeight="true" outlineLevel="0" collapsed="false">
      <c r="A111" s="2"/>
      <c r="B111" s="2"/>
      <c r="C111" s="2"/>
      <c r="D111" s="2"/>
    </row>
    <row r="112" customFormat="false" ht="8.25" hidden="false" customHeight="true" outlineLevel="0" collapsed="false">
      <c r="A112" s="33" t="s">
        <v>107</v>
      </c>
      <c r="B112" s="2"/>
      <c r="C112" s="33" t="s">
        <v>107</v>
      </c>
      <c r="D112" s="2"/>
    </row>
    <row r="113" customFormat="false" ht="13.5" hidden="false" customHeight="true" outlineLevel="0" collapsed="false">
      <c r="A113" s="33" t="s">
        <v>108</v>
      </c>
      <c r="B113" s="2"/>
      <c r="C113" s="33" t="s">
        <v>109</v>
      </c>
      <c r="D113" s="2"/>
    </row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8:D8"/>
    <mergeCell ref="A10:B10"/>
    <mergeCell ref="C10:D10"/>
    <mergeCell ref="A11:B11"/>
    <mergeCell ref="C11:D11"/>
    <mergeCell ref="A12:B12"/>
    <mergeCell ref="C12:D12"/>
    <mergeCell ref="A108:D108"/>
    <mergeCell ref="A109:D109"/>
  </mergeCells>
  <conditionalFormatting sqref="D15:D72">
    <cfRule type="cellIs" priority="2" operator="greaterThan" aboveAverage="0" equalAverage="0" bottom="0" percent="0" rank="0" text="" dxfId="0">
      <formula>B15</formula>
    </cfRule>
  </conditionalFormatting>
  <dataValidations count="1">
    <dataValidation allowBlank="true" errorStyle="stop" operator="between" showDropDown="false" showErrorMessage="false" showInputMessage="false" sqref="B77:B82 C86:C102" type="list">
      <formula1>"Sí,No"</formula1>
      <formula2>0</formula2>
    </dataValidation>
  </dataValidation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.63"/>
    <col collapsed="false" customWidth="true" hidden="false" outlineLevel="0" max="2" min="2" style="0" width="10.75"/>
    <col collapsed="false" customWidth="true" hidden="false" outlineLevel="0" max="3" min="3" style="0" width="35.38"/>
    <col collapsed="false" customWidth="true" hidden="false" outlineLevel="0" max="4" min="4" style="0" width="12.13"/>
    <col collapsed="false" customWidth="true" hidden="false" outlineLevel="0" max="5" min="5" style="0" width="13.88"/>
    <col collapsed="false" customWidth="true" hidden="false" outlineLevel="0" max="6" min="6" style="0" width="11"/>
    <col collapsed="false" customWidth="true" hidden="false" outlineLevel="0" max="7" min="7" style="0" width="8.75"/>
    <col collapsed="false" customWidth="true" hidden="false" outlineLevel="0" max="8" min="8" style="0" width="12.88"/>
    <col collapsed="false" customWidth="true" hidden="false" outlineLevel="0" max="9" min="9" style="0" width="12"/>
    <col collapsed="false" customWidth="true" hidden="false" outlineLevel="0" max="10" min="10" style="0" width="9.75"/>
    <col collapsed="false" customWidth="true" hidden="false" outlineLevel="0" max="11" min="11" style="0" width="13"/>
    <col collapsed="false" customWidth="true" hidden="false" outlineLevel="0" max="12" min="12" style="0" width="15.63"/>
    <col collapsed="false" customWidth="true" hidden="false" outlineLevel="0" max="13" min="13" style="0" width="81.13"/>
    <col collapsed="false" customWidth="true" hidden="false" outlineLevel="0" max="14" min="14" style="0" width="26"/>
    <col collapsed="false" customWidth="true" hidden="false" outlineLevel="0" max="26" min="15" style="0" width="14.38"/>
  </cols>
  <sheetData>
    <row r="1" customFormat="false" ht="15" hidden="false" customHeight="false" outlineLevel="0" collapsed="false">
      <c r="A1" s="37" t="s">
        <v>122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customFormat="false" ht="27.75" hidden="false" customHeight="true" outlineLevel="0" collapsed="false">
      <c r="A2" s="38" t="s">
        <v>123</v>
      </c>
      <c r="B2" s="39" t="s">
        <v>124</v>
      </c>
      <c r="C2" s="39" t="s">
        <v>125</v>
      </c>
      <c r="D2" s="38" t="s">
        <v>126</v>
      </c>
      <c r="E2" s="38" t="s">
        <v>127</v>
      </c>
      <c r="F2" s="38" t="s">
        <v>128</v>
      </c>
      <c r="G2" s="38" t="s">
        <v>129</v>
      </c>
      <c r="H2" s="38" t="s">
        <v>84</v>
      </c>
      <c r="I2" s="38" t="s">
        <v>130</v>
      </c>
      <c r="J2" s="39" t="s">
        <v>131</v>
      </c>
      <c r="K2" s="39" t="s">
        <v>132</v>
      </c>
      <c r="L2" s="39" t="s">
        <v>133</v>
      </c>
      <c r="M2" s="38" t="s">
        <v>134</v>
      </c>
    </row>
    <row r="3" customFormat="false" ht="15" hidden="false" customHeight="false" outlineLevel="0" collapsed="false">
      <c r="A3" s="40" t="n">
        <v>1</v>
      </c>
      <c r="B3" s="41" t="s">
        <v>135</v>
      </c>
      <c r="C3" s="41" t="s">
        <v>136</v>
      </c>
      <c r="D3" s="42" t="e">
        <f aca="true">IFERROR(INDIRECT(B3 &amp; "!D15"), "0")</f>
        <v>#REF!</v>
      </c>
      <c r="E3" s="43" t="e">
        <f aca="true">IFERROR(INDIRECT(B3 &amp; "!D29"), "0")</f>
        <v>#REF!</v>
      </c>
      <c r="F3" s="43" t="e">
        <f aca="true">IFERROR(INDIRECT(B3 &amp; "!D66"), "0")</f>
        <v>#REF!</v>
      </c>
      <c r="G3" s="28" t="e">
        <f aca="false">IF(C3="","",SUM(D3:F3))</f>
        <v>#REF!</v>
      </c>
      <c r="H3" s="44" t="str">
        <f aca="false">IFERROR(__xludf.dummyfunction("IFERROR(MIN(FILTER(INDIRECT(B3 &amp; ""!B90:B106""), LEFT(INDIRECT(B3 &amp; ""!C90:C106""),1)=""S"")), ""0%"")"),"0%")</f>
        <v>0%</v>
      </c>
      <c r="I3" s="45" t="e">
        <f aca="false">IF(C3="","",MAX(0,ROUND(G3*(1+H3),2)))</f>
        <v>#REF!</v>
      </c>
      <c r="J3" s="46"/>
      <c r="K3" s="46"/>
      <c r="L3" s="46"/>
      <c r="M3" s="47"/>
    </row>
    <row r="4" customFormat="false" ht="15" hidden="false" customHeight="false" outlineLevel="0" collapsed="false">
      <c r="A4" s="40" t="n">
        <v>2</v>
      </c>
      <c r="B4" s="41" t="s">
        <v>137</v>
      </c>
      <c r="C4" s="41" t="s">
        <v>138</v>
      </c>
      <c r="D4" s="42" t="e">
        <f aca="true">IFERROR(INDIRECT(B4 &amp; "!D15"), "0")</f>
        <v>#REF!</v>
      </c>
      <c r="E4" s="43" t="e">
        <f aca="true">IFERROR(INDIRECT(B4 &amp; "!D29"), "0")</f>
        <v>#REF!</v>
      </c>
      <c r="F4" s="43" t="e">
        <f aca="true">IFERROR(INDIRECT(B4 &amp; "!D66"), "0")</f>
        <v>#REF!</v>
      </c>
      <c r="G4" s="28" t="e">
        <f aca="false">IF(C4="","",SUM(D4:F4))</f>
        <v>#REF!</v>
      </c>
      <c r="H4" s="44" t="str">
        <f aca="false">IFERROR(__xludf.dummyfunction("IFERROR(MIN(FILTER(INDIRECT(B4 &amp; ""!B90:B106""), LEFT(INDIRECT(B4 &amp; ""!C90:C106""),1)=""S"")), ""0%"")"),"0%")</f>
        <v>0%</v>
      </c>
      <c r="I4" s="45" t="e">
        <f aca="false">IF(C4="","",MAX(0,ROUND(G4*(1+H4),2)))</f>
        <v>#REF!</v>
      </c>
      <c r="J4" s="46"/>
      <c r="K4" s="46"/>
      <c r="L4" s="46"/>
      <c r="M4" s="47"/>
    </row>
    <row r="5" customFormat="false" ht="15" hidden="false" customHeight="false" outlineLevel="0" collapsed="false">
      <c r="A5" s="40" t="n">
        <v>3</v>
      </c>
      <c r="B5" s="41" t="s">
        <v>139</v>
      </c>
      <c r="C5" s="41" t="s">
        <v>140</v>
      </c>
      <c r="D5" s="42" t="e">
        <f aca="true">IFERROR(INDIRECT(B5 &amp; "!D15"), "0")</f>
        <v>#REF!</v>
      </c>
      <c r="E5" s="43" t="e">
        <f aca="true">IFERROR(INDIRECT(B5 &amp; "!D29"), "0")</f>
        <v>#REF!</v>
      </c>
      <c r="F5" s="43" t="e">
        <f aca="true">IFERROR(INDIRECT(B5 &amp; "!D66"), "0")</f>
        <v>#REF!</v>
      </c>
      <c r="G5" s="28" t="e">
        <f aca="false">IF(C5="","",SUM(D5:F5))</f>
        <v>#REF!</v>
      </c>
      <c r="H5" s="44" t="str">
        <f aca="false">IFERROR(__xludf.dummyfunction("IFERROR(MIN(FILTER(INDIRECT(B5 &amp; ""!B90:B106""), LEFT(INDIRECT(B5 &amp; ""!C90:C106""),1)=""S"")), ""0%"")"),"0%")</f>
        <v>0%</v>
      </c>
      <c r="I5" s="45" t="e">
        <f aca="false">IF(C5="","",MAX(0,ROUND(G5*(1+H5),2)))</f>
        <v>#REF!</v>
      </c>
      <c r="J5" s="46"/>
      <c r="K5" s="46"/>
      <c r="L5" s="46"/>
      <c r="M5" s="46"/>
    </row>
    <row r="6" customFormat="false" ht="15" hidden="false" customHeight="false" outlineLevel="0" collapsed="false">
      <c r="A6" s="40" t="n">
        <v>4</v>
      </c>
      <c r="B6" s="41" t="s">
        <v>141</v>
      </c>
      <c r="C6" s="41" t="s">
        <v>142</v>
      </c>
      <c r="D6" s="48" t="n">
        <f aca="true">IFERROR(INDIRECT(B6 &amp; "!D15"), "0")</f>
        <v>23</v>
      </c>
      <c r="E6" s="17" t="n">
        <f aca="true">IFERROR(INDIRECT(B6 &amp; "!D29"), "0")</f>
        <v>34</v>
      </c>
      <c r="F6" s="17" t="n">
        <f aca="true">IFERROR(INDIRECT(B6 &amp; "!D66"), "0")</f>
        <v>3</v>
      </c>
      <c r="G6" s="28" t="n">
        <f aca="false">IF(C6="","",SUM(D6:F6))</f>
        <v>60</v>
      </c>
      <c r="H6" s="44" t="str">
        <f aca="false">IFERROR(__xludf.dummyfunction("IFERROR(MIN(FILTER(INDIRECT(B6 &amp; ""!B90:B106""), LEFT(INDIRECT(B6 &amp; ""!C90:C106""),1)=""S"")), ""0%"")"),"0%")</f>
        <v>0%</v>
      </c>
      <c r="I6" s="45" t="n">
        <f aca="false">IF(C6="","",MAX(0,ROUND(G6*(1+H6),2)))</f>
        <v>60</v>
      </c>
      <c r="J6" s="46"/>
      <c r="K6" s="46"/>
      <c r="L6" s="46"/>
      <c r="M6" s="47"/>
    </row>
    <row r="7" customFormat="false" ht="15" hidden="false" customHeight="false" outlineLevel="0" collapsed="false">
      <c r="A7" s="40" t="n">
        <v>5</v>
      </c>
      <c r="B7" s="41" t="s">
        <v>143</v>
      </c>
      <c r="C7" s="41" t="s">
        <v>144</v>
      </c>
      <c r="D7" s="42" t="e">
        <f aca="true">IFERROR(INDIRECT(B7 &amp; "!D15"), "0")</f>
        <v>#REF!</v>
      </c>
      <c r="E7" s="43" t="e">
        <f aca="true">IFERROR(INDIRECT(B7 &amp; "!D29"), "0")</f>
        <v>#REF!</v>
      </c>
      <c r="F7" s="43" t="e">
        <f aca="true">IFERROR(INDIRECT(B7 &amp; "!D66"), "0")</f>
        <v>#REF!</v>
      </c>
      <c r="G7" s="28" t="e">
        <f aca="false">IF(C7="","",SUM(D7:F7))</f>
        <v>#REF!</v>
      </c>
      <c r="H7" s="44" t="str">
        <f aca="false">IFERROR(__xludf.dummyfunction("IFERROR(MIN(FILTER(INDIRECT(B7 &amp; ""!B90:B106""), LEFT(INDIRECT(B7 &amp; ""!C90:C106""),1)=""S"")), ""0%"")"),"0%")</f>
        <v>0%</v>
      </c>
      <c r="I7" s="45" t="e">
        <f aca="false">IF(C7="","",MAX(0,ROUND(G7*(1+H7),2)))</f>
        <v>#REF!</v>
      </c>
      <c r="J7" s="46"/>
      <c r="K7" s="46"/>
      <c r="L7" s="46"/>
      <c r="M7" s="47"/>
    </row>
    <row r="8" customFormat="false" ht="15" hidden="false" customHeight="false" outlineLevel="0" collapsed="false">
      <c r="A8" s="40" t="n">
        <v>6</v>
      </c>
      <c r="B8" s="41" t="s">
        <v>145</v>
      </c>
      <c r="C8" s="41" t="s">
        <v>146</v>
      </c>
      <c r="D8" s="42" t="e">
        <f aca="true">IFERROR(INDIRECT(B8 &amp; "!D15"), "0")</f>
        <v>#REF!</v>
      </c>
      <c r="E8" s="43" t="e">
        <f aca="true">IFERROR(INDIRECT(B8 &amp; "!D29"), "0")</f>
        <v>#REF!</v>
      </c>
      <c r="F8" s="43" t="e">
        <f aca="true">IFERROR(INDIRECT(B8 &amp; "!D66"), "0")</f>
        <v>#REF!</v>
      </c>
      <c r="G8" s="28" t="e">
        <f aca="false">IF(C8="","",SUM(D8:F8))</f>
        <v>#REF!</v>
      </c>
      <c r="H8" s="44" t="str">
        <f aca="false">IFERROR(__xludf.dummyfunction("IFERROR(MIN(FILTER(INDIRECT(B8 &amp; ""!B90:B106""), LEFT(INDIRECT(B8 &amp; ""!C90:C106""),1)=""S"")), ""0%"")"),"0%")</f>
        <v>0%</v>
      </c>
      <c r="I8" s="45" t="e">
        <f aca="false">IF(C8="","",MAX(0,ROUND(G8*(1+H8),2)))</f>
        <v>#REF!</v>
      </c>
      <c r="J8" s="46"/>
      <c r="K8" s="46"/>
      <c r="L8" s="46"/>
      <c r="M8" s="47"/>
    </row>
    <row r="9" customFormat="false" ht="15" hidden="false" customHeight="false" outlineLevel="0" collapsed="false">
      <c r="A9" s="40" t="n">
        <v>7</v>
      </c>
      <c r="B9" s="41" t="s">
        <v>147</v>
      </c>
      <c r="C9" s="41" t="s">
        <v>148</v>
      </c>
      <c r="D9" s="42" t="e">
        <f aca="true">IFERROR(INDIRECT(B9 &amp; "!D15"), "0")</f>
        <v>#REF!</v>
      </c>
      <c r="E9" s="43" t="e">
        <f aca="true">IFERROR(INDIRECT(B9 &amp; "!D29"), "0")</f>
        <v>#REF!</v>
      </c>
      <c r="F9" s="43" t="e">
        <f aca="true">IFERROR(INDIRECT(B9 &amp; "!D66"), "0")</f>
        <v>#REF!</v>
      </c>
      <c r="G9" s="28" t="e">
        <f aca="false">IF(C9="","",SUM(D9:F9))</f>
        <v>#REF!</v>
      </c>
      <c r="H9" s="44" t="str">
        <f aca="false">IFERROR(__xludf.dummyfunction("IFERROR(MIN(FILTER(INDIRECT(B9 &amp; ""!B90:B106""), LEFT(INDIRECT(B9 &amp; ""!C90:C106""),1)=""S"")), ""0%"")"),"0%")</f>
        <v>0%</v>
      </c>
      <c r="I9" s="45" t="e">
        <f aca="false">IF(C9="","",MAX(0,ROUND(G9*(1+H9),2)))</f>
        <v>#REF!</v>
      </c>
      <c r="J9" s="46"/>
      <c r="K9" s="46"/>
      <c r="L9" s="46"/>
      <c r="M9" s="47"/>
    </row>
    <row r="10" customFormat="false" ht="15" hidden="false" customHeight="false" outlineLevel="0" collapsed="false">
      <c r="A10" s="40" t="n">
        <v>8</v>
      </c>
      <c r="B10" s="41" t="s">
        <v>149</v>
      </c>
      <c r="C10" s="41" t="s">
        <v>150</v>
      </c>
      <c r="D10" s="42" t="e">
        <f aca="true">IFERROR(INDIRECT(B10 &amp; "!D15"), "0")</f>
        <v>#REF!</v>
      </c>
      <c r="E10" s="43" t="e">
        <f aca="true">IFERROR(INDIRECT(B10 &amp; "!D29"), "0")</f>
        <v>#REF!</v>
      </c>
      <c r="F10" s="43" t="e">
        <f aca="true">IFERROR(INDIRECT(B10 &amp; "!D66"), "0")</f>
        <v>#REF!</v>
      </c>
      <c r="G10" s="28" t="e">
        <f aca="false">IF(C10="","",SUM(D10:F10))</f>
        <v>#REF!</v>
      </c>
      <c r="H10" s="44" t="str">
        <f aca="false">IFERROR(__xludf.dummyfunction("IFERROR(MIN(FILTER(INDIRECT(B10 &amp; ""!B90:B106""), LEFT(INDIRECT(B10 &amp; ""!C90:C106""),1)=""S"")), ""0%"")"),"0%")</f>
        <v>0%</v>
      </c>
      <c r="I10" s="45" t="e">
        <f aca="false">IF(C10="","",MAX(0,ROUND(G10*(1+H10),2)))</f>
        <v>#REF!</v>
      </c>
      <c r="J10" s="46"/>
      <c r="K10" s="46"/>
      <c r="L10" s="46"/>
      <c r="M10" s="46"/>
    </row>
    <row r="11" customFormat="false" ht="15" hidden="false" customHeight="false" outlineLevel="0" collapsed="false">
      <c r="A11" s="40" t="n">
        <v>9</v>
      </c>
      <c r="B11" s="41" t="s">
        <v>151</v>
      </c>
      <c r="C11" s="41" t="s">
        <v>152</v>
      </c>
      <c r="D11" s="42" t="e">
        <f aca="true">IFERROR(INDIRECT(B11 &amp; "!D15"), "0")</f>
        <v>#REF!</v>
      </c>
      <c r="E11" s="43" t="e">
        <f aca="true">IFERROR(INDIRECT(B11 &amp; "!D29"), "0")</f>
        <v>#REF!</v>
      </c>
      <c r="F11" s="43" t="e">
        <f aca="true">IFERROR(INDIRECT(B11 &amp; "!D66"), "0")</f>
        <v>#REF!</v>
      </c>
      <c r="G11" s="28" t="e">
        <f aca="false">IF(C11="","",SUM(D11:F11))</f>
        <v>#REF!</v>
      </c>
      <c r="H11" s="44" t="str">
        <f aca="false">IFERROR(__xludf.dummyfunction("IFERROR(MIN(FILTER(INDIRECT(B11 &amp; ""!B90:B106""), LEFT(INDIRECT(B11 &amp; ""!C90:C106""),1)=""S"")), ""0%"")"),"0%")</f>
        <v>0%</v>
      </c>
      <c r="I11" s="45" t="e">
        <f aca="false">IF(C11="","",MAX(0,ROUND(G11*(1+H11),2)))</f>
        <v>#REF!</v>
      </c>
      <c r="J11" s="46"/>
      <c r="K11" s="46"/>
      <c r="L11" s="46"/>
      <c r="M11" s="47"/>
    </row>
    <row r="12" customFormat="false" ht="15" hidden="false" customHeight="false" outlineLevel="0" collapsed="false">
      <c r="A12" s="40" t="n">
        <v>10</v>
      </c>
      <c r="B12" s="41" t="s">
        <v>153</v>
      </c>
      <c r="C12" s="41" t="s">
        <v>154</v>
      </c>
      <c r="D12" s="48" t="n">
        <f aca="true">IFERROR(INDIRECT(B12 &amp; "!D15"), "0")</f>
        <v>25</v>
      </c>
      <c r="E12" s="17" t="n">
        <f aca="true">IFERROR(INDIRECT(B12 &amp; "!D29"), "0")</f>
        <v>40</v>
      </c>
      <c r="F12" s="17" t="n">
        <f aca="true">IFERROR(INDIRECT(B12 &amp; "!D66"), "0")</f>
        <v>3</v>
      </c>
      <c r="G12" s="28" t="n">
        <f aca="false">IF(C12="","",SUM(D12:F12))</f>
        <v>68</v>
      </c>
      <c r="H12" s="44" t="str">
        <f aca="false">IFERROR(__xludf.dummyfunction("IFERROR(MIN(FILTER(INDIRECT(B12 &amp; ""!B90:B106""), LEFT(INDIRECT(B12 &amp; ""!C90:C106""),1)=""S"")), ""0%"")"),"0%")</f>
        <v>0%</v>
      </c>
      <c r="I12" s="45" t="n">
        <f aca="false">IF(C12="","",MAX(0,ROUND(G12*(1+H12),2)))</f>
        <v>68</v>
      </c>
      <c r="J12" s="46"/>
      <c r="K12" s="46"/>
      <c r="L12" s="46"/>
      <c r="M12" s="47"/>
    </row>
    <row r="13" customFormat="false" ht="15" hidden="false" customHeight="false" outlineLevel="0" collapsed="false">
      <c r="A13" s="40" t="n">
        <v>11</v>
      </c>
      <c r="B13" s="41" t="s">
        <v>155</v>
      </c>
      <c r="C13" s="41" t="s">
        <v>156</v>
      </c>
      <c r="D13" s="48" t="n">
        <f aca="true">IFERROR(INDIRECT(B13 &amp; "!D15"), "0")</f>
        <v>25</v>
      </c>
      <c r="E13" s="17" t="n">
        <f aca="true">IFERROR(INDIRECT(B13 &amp; "!D29"), "0")</f>
        <v>36</v>
      </c>
      <c r="F13" s="17" t="n">
        <f aca="true">IFERROR(INDIRECT(B13 &amp; "!D66"), "0")</f>
        <v>0</v>
      </c>
      <c r="G13" s="28" t="n">
        <f aca="false">IF(C13="","",SUM(D13:F13))</f>
        <v>61</v>
      </c>
      <c r="H13" s="44" t="str">
        <f aca="false">IFERROR(__xludf.dummyfunction("IFERROR(MIN(FILTER(INDIRECT(B13 &amp; ""!B90:B106""), LEFT(INDIRECT(B13 &amp; ""!C90:C106""),1)=""S"")), ""0%"")"),"0%")</f>
        <v>0%</v>
      </c>
      <c r="I13" s="45" t="n">
        <f aca="false">IF(C13="","",MAX(0,ROUND(G13*(1+H13),2)))</f>
        <v>61</v>
      </c>
      <c r="J13" s="46"/>
      <c r="K13" s="46"/>
      <c r="L13" s="46"/>
      <c r="M13" s="46"/>
    </row>
    <row r="14" customFormat="false" ht="15" hidden="false" customHeight="false" outlineLevel="0" collapsed="false">
      <c r="A14" s="40" t="n">
        <v>12</v>
      </c>
      <c r="B14" s="41" t="s">
        <v>157</v>
      </c>
      <c r="C14" s="41" t="s">
        <v>158</v>
      </c>
      <c r="D14" s="42" t="n">
        <v>0</v>
      </c>
      <c r="E14" s="43" t="n">
        <v>0</v>
      </c>
      <c r="F14" s="43" t="n">
        <v>0</v>
      </c>
      <c r="G14" s="28" t="n">
        <f aca="false">IF(C14="","",SUM(D14:F14))</f>
        <v>0</v>
      </c>
      <c r="H14" s="44" t="str">
        <f aca="false">IFERROR(__xludf.dummyfunction("IFERROR(MIN(FILTER(INDIRECT(B14 &amp; ""!B90:B106""), LEFT(INDIRECT(B14 &amp; ""!C90:C106""),1)=""S"")), ""0%"")"),"0%")</f>
        <v>0%</v>
      </c>
      <c r="I14" s="45" t="n">
        <f aca="false">IF(C14="","",MAX(0,ROUND(G14*(1+H14),2)))</f>
        <v>0</v>
      </c>
      <c r="J14" s="46"/>
      <c r="K14" s="46"/>
      <c r="L14" s="46"/>
      <c r="M14" s="47"/>
    </row>
    <row r="15" customFormat="false" ht="15" hidden="false" customHeight="false" outlineLevel="0" collapsed="false">
      <c r="A15" s="40" t="n">
        <v>13</v>
      </c>
      <c r="B15" s="41" t="s">
        <v>159</v>
      </c>
      <c r="C15" s="41" t="s">
        <v>160</v>
      </c>
      <c r="D15" s="48" t="n">
        <f aca="true">IFERROR(INDIRECT(B15 &amp; "!D15"), "0")</f>
        <v>23</v>
      </c>
      <c r="E15" s="17" t="n">
        <f aca="true">IFERROR(INDIRECT(B15 &amp; "!D29"), "0")</f>
        <v>38.5</v>
      </c>
      <c r="F15" s="17" t="n">
        <f aca="true">IFERROR(INDIRECT(B15 &amp; "!D66"), "0")</f>
        <v>1</v>
      </c>
      <c r="G15" s="28" t="n">
        <f aca="false">IF(C15="","",SUM(D15:F15))</f>
        <v>62.5</v>
      </c>
      <c r="H15" s="44" t="str">
        <f aca="false">IFERROR(__xludf.dummyfunction("IFERROR(MIN(FILTER(INDIRECT(B15 &amp; ""!B90:B106""), LEFT(INDIRECT(B15 &amp; ""!C90:C106""),1)=""S"")), ""0%"")"),"0%")</f>
        <v>0%</v>
      </c>
      <c r="I15" s="45" t="n">
        <f aca="false">IF(C15="","",MAX(0,ROUND(G15*(1+H15),2)))</f>
        <v>62.5</v>
      </c>
      <c r="J15" s="46"/>
      <c r="K15" s="46"/>
      <c r="L15" s="46"/>
      <c r="M15" s="46"/>
    </row>
    <row r="16" customFormat="false" ht="15" hidden="false" customHeight="false" outlineLevel="0" collapsed="false">
      <c r="A16" s="40" t="n">
        <v>14</v>
      </c>
      <c r="B16" s="41" t="s">
        <v>161</v>
      </c>
      <c r="C16" s="41" t="s">
        <v>162</v>
      </c>
      <c r="D16" s="48" t="n">
        <f aca="true">IFERROR(INDIRECT(B16 &amp; "!D15"), "0")</f>
        <v>21</v>
      </c>
      <c r="E16" s="17" t="n">
        <f aca="true">IFERROR(INDIRECT(B16 &amp; "!D29"), "0")</f>
        <v>40</v>
      </c>
      <c r="F16" s="17" t="n">
        <f aca="true">IFERROR(INDIRECT(B16 &amp; "!D66"), "0")</f>
        <v>3</v>
      </c>
      <c r="G16" s="28" t="n">
        <f aca="false">IF(C16="","",SUM(D16:F16))</f>
        <v>64</v>
      </c>
      <c r="H16" s="44" t="str">
        <f aca="false">IFERROR(__xludf.dummyfunction("IFERROR(MIN(FILTER(INDIRECT(B16 &amp; ""!B90:B106""), LEFT(INDIRECT(B16 &amp; ""!C90:C106""),1)=""S"")), ""0%"")"),"0%")</f>
        <v>0%</v>
      </c>
      <c r="I16" s="45" t="n">
        <f aca="false">IF(C16="","",MAX(0,ROUND(G16*(1+H16),2)))</f>
        <v>64</v>
      </c>
      <c r="J16" s="46"/>
      <c r="K16" s="46"/>
      <c r="L16" s="46"/>
      <c r="M16" s="47"/>
    </row>
    <row r="17" customFormat="false" ht="15" hidden="false" customHeight="false" outlineLevel="0" collapsed="false">
      <c r="A17" s="40" t="n">
        <v>15</v>
      </c>
      <c r="B17" s="41" t="s">
        <v>163</v>
      </c>
      <c r="C17" s="41" t="s">
        <v>164</v>
      </c>
      <c r="D17" s="48" t="n">
        <f aca="true">IFERROR(INDIRECT(B17 &amp; "!D15"), "0")</f>
        <v>23</v>
      </c>
      <c r="E17" s="17" t="n">
        <f aca="true">IFERROR(INDIRECT(B17 &amp; "!D29"), "0")</f>
        <v>40</v>
      </c>
      <c r="F17" s="17" t="n">
        <f aca="true">IFERROR(INDIRECT(B17 &amp; "!D66"), "0")</f>
        <v>0</v>
      </c>
      <c r="G17" s="28" t="n">
        <f aca="false">IF(C17="","",SUM(D17:F17))</f>
        <v>63</v>
      </c>
      <c r="H17" s="44" t="str">
        <f aca="false">IFERROR(__xludf.dummyfunction("IFERROR(MIN(FILTER(INDIRECT(B17 &amp; ""!B90:B106""), LEFT(INDIRECT(B17 &amp; ""!C90:C106""),1)=""S"")), ""0%"")"),"0%")</f>
        <v>0%</v>
      </c>
      <c r="I17" s="45" t="n">
        <f aca="false">IF(C17="","",MAX(0,ROUND(G17*(1+H17),2)))</f>
        <v>63</v>
      </c>
      <c r="J17" s="46"/>
      <c r="K17" s="46"/>
      <c r="L17" s="46"/>
      <c r="M17" s="47"/>
    </row>
    <row r="18" customFormat="false" ht="15.75" hidden="false" customHeight="true" outlineLevel="0" collapsed="false">
      <c r="A18" s="40" t="n">
        <v>16</v>
      </c>
      <c r="B18" s="41" t="s">
        <v>165</v>
      </c>
      <c r="C18" s="41" t="s">
        <v>166</v>
      </c>
      <c r="D18" s="42" t="e">
        <f aca="true">IFERROR(INDIRECT(B18 &amp; "!D15"), "0")</f>
        <v>#REF!</v>
      </c>
      <c r="E18" s="43" t="e">
        <f aca="true">IFERROR(INDIRECT(B18 &amp; "!D29"), "0")</f>
        <v>#REF!</v>
      </c>
      <c r="F18" s="43" t="e">
        <f aca="true">IFERROR(INDIRECT(B18 &amp; "!D66"), "0")</f>
        <v>#REF!</v>
      </c>
      <c r="G18" s="28" t="e">
        <f aca="false">IF(C18="","",SUM(D18:F18))</f>
        <v>#REF!</v>
      </c>
      <c r="H18" s="44" t="str">
        <f aca="false">IFERROR(__xludf.dummyfunction("IFERROR(MIN(FILTER(INDIRECT(B18 &amp; ""!B90:B106""), LEFT(INDIRECT(B18 &amp; ""!C90:C106""),1)=""S"")), ""0%"")"),"0%")</f>
        <v>0%</v>
      </c>
      <c r="I18" s="45" t="e">
        <f aca="false">IF(C18="","",MAX(0,ROUND(G18*(1+H18),2)))</f>
        <v>#REF!</v>
      </c>
      <c r="J18" s="46"/>
      <c r="K18" s="46"/>
      <c r="L18" s="46"/>
      <c r="M18" s="47"/>
    </row>
    <row r="19" customFormat="false" ht="15.75" hidden="false" customHeight="true" outlineLevel="0" collapsed="false">
      <c r="A19" s="40" t="n">
        <v>17</v>
      </c>
      <c r="B19" s="41" t="s">
        <v>167</v>
      </c>
      <c r="C19" s="41" t="s">
        <v>168</v>
      </c>
      <c r="D19" s="48" t="n">
        <f aca="true">IFERROR(INDIRECT(B19 &amp; "!D15"), "0")</f>
        <v>25</v>
      </c>
      <c r="E19" s="17" t="n">
        <f aca="true">IFERROR(INDIRECT(B19 &amp; "!D29"), "0")</f>
        <v>38</v>
      </c>
      <c r="F19" s="17" t="n">
        <f aca="true">IFERROR(INDIRECT(B19 &amp; "!D66"), "0")</f>
        <v>3</v>
      </c>
      <c r="G19" s="28" t="n">
        <f aca="false">IF(C19="","",SUM(D19:F19))</f>
        <v>66</v>
      </c>
      <c r="H19" s="44" t="str">
        <f aca="false">IFERROR(__xludf.dummyfunction("IFERROR(MIN(FILTER(INDIRECT(B19 &amp; ""!B90:B106""), LEFT(INDIRECT(B19 &amp; ""!C90:C106""),1)=""S"")), ""0%"")"),"0%")</f>
        <v>0%</v>
      </c>
      <c r="I19" s="45" t="n">
        <f aca="false">IF(C19="","",MAX(0,ROUND(G19*(1+H19),2)))</f>
        <v>66</v>
      </c>
      <c r="J19" s="46"/>
      <c r="K19" s="46"/>
      <c r="L19" s="46"/>
      <c r="M19" s="47"/>
    </row>
    <row r="20" customFormat="false" ht="15.75" hidden="false" customHeight="true" outlineLevel="0" collapsed="false">
      <c r="A20" s="40" t="n">
        <v>18</v>
      </c>
      <c r="B20" s="41" t="s">
        <v>169</v>
      </c>
      <c r="C20" s="41" t="s">
        <v>170</v>
      </c>
      <c r="D20" s="48" t="n">
        <f aca="true">IFERROR(INDIRECT(B20 &amp; "!D15"), "0")</f>
        <v>18</v>
      </c>
      <c r="E20" s="17" t="n">
        <f aca="true">IFERROR(INDIRECT(B20 &amp; "!D29"), "0")</f>
        <v>40</v>
      </c>
      <c r="F20" s="17" t="n">
        <f aca="true">IFERROR(INDIRECT(B20 &amp; "!D66"), "0")</f>
        <v>0</v>
      </c>
      <c r="G20" s="28" t="n">
        <f aca="false">IF(C20="","",SUM(D20:F20))</f>
        <v>58</v>
      </c>
      <c r="H20" s="44" t="str">
        <f aca="false">IFERROR(__xludf.dummyfunction("IFERROR(MIN(FILTER(INDIRECT(B20 &amp; ""!B90:B106""), LEFT(INDIRECT(B20 &amp; ""!C90:C106""),1)=""S"")), ""0%"")"),"0%")</f>
        <v>0%</v>
      </c>
      <c r="I20" s="45" t="n">
        <f aca="false">IF(C20="","",MAX(0,ROUND(G20*(1+H20),2)))</f>
        <v>58</v>
      </c>
      <c r="J20" s="46"/>
      <c r="K20" s="46"/>
      <c r="L20" s="46"/>
      <c r="M20" s="46"/>
    </row>
    <row r="21" customFormat="false" ht="15.75" hidden="false" customHeight="true" outlineLevel="0" collapsed="false">
      <c r="A21" s="40" t="n">
        <v>19</v>
      </c>
      <c r="B21" s="41" t="s">
        <v>171</v>
      </c>
      <c r="C21" s="41" t="s">
        <v>172</v>
      </c>
      <c r="D21" s="42" t="n">
        <v>0</v>
      </c>
      <c r="E21" s="43" t="n">
        <v>0</v>
      </c>
      <c r="F21" s="43" t="n">
        <v>0</v>
      </c>
      <c r="G21" s="28" t="n">
        <f aca="false">IF(C21="","",SUM(D21:F21))</f>
        <v>0</v>
      </c>
      <c r="H21" s="44" t="str">
        <f aca="false">IFERROR(__xludf.dummyfunction("IFERROR(MIN(FILTER(INDIRECT(B21 &amp; ""!B90:B106""), LEFT(INDIRECT(B21 &amp; ""!C90:C106""),1)=""S"")), ""0%"")"),"0%")</f>
        <v>0%</v>
      </c>
      <c r="I21" s="45" t="n">
        <f aca="false">IF(C21="","",MAX(0,ROUND(G21*(1+H21),2)))</f>
        <v>0</v>
      </c>
      <c r="J21" s="46"/>
      <c r="K21" s="46"/>
      <c r="L21" s="46"/>
      <c r="M21" s="46"/>
    </row>
    <row r="22" customFormat="false" ht="15.75" hidden="false" customHeight="true" outlineLevel="0" collapsed="false">
      <c r="A22" s="40" t="n">
        <v>20</v>
      </c>
      <c r="B22" s="41" t="s">
        <v>173</v>
      </c>
      <c r="C22" s="41" t="s">
        <v>174</v>
      </c>
      <c r="D22" s="42" t="e">
        <f aca="true">IFERROR(INDIRECT(B22 &amp; "!D15"), "0")</f>
        <v>#REF!</v>
      </c>
      <c r="E22" s="43" t="e">
        <f aca="true">IFERROR(INDIRECT(B22 &amp; "!D29"), "0")</f>
        <v>#REF!</v>
      </c>
      <c r="F22" s="43" t="e">
        <f aca="true">IFERROR(INDIRECT(B22 &amp; "!D66"), "0")</f>
        <v>#REF!</v>
      </c>
      <c r="G22" s="28" t="e">
        <f aca="false">IF(C22="","",SUM(D22:F22))</f>
        <v>#REF!</v>
      </c>
      <c r="H22" s="44" t="str">
        <f aca="false">IFERROR(__xludf.dummyfunction("IFERROR(MIN(FILTER(INDIRECT(B22 &amp; ""!B90:B106""), LEFT(INDIRECT(B22 &amp; ""!C90:C106""),1)=""S"")), ""0%"")"),"0%")</f>
        <v>0%</v>
      </c>
      <c r="I22" s="45" t="e">
        <f aca="false">IF(C22="","",MAX(0,ROUND(G22*(1+H22),2)))</f>
        <v>#REF!</v>
      </c>
      <c r="J22" s="46"/>
      <c r="K22" s="46"/>
      <c r="L22" s="46"/>
      <c r="M22" s="47"/>
    </row>
    <row r="23" customFormat="false" ht="15.75" hidden="false" customHeight="true" outlineLevel="0" collapsed="false">
      <c r="A23" s="40" t="n">
        <v>21</v>
      </c>
      <c r="B23" s="41" t="s">
        <v>175</v>
      </c>
      <c r="C23" s="41" t="s">
        <v>176</v>
      </c>
      <c r="D23" s="48" t="n">
        <f aca="true">IFERROR(INDIRECT(B23 &amp; "!D15"), "0")</f>
        <v>21</v>
      </c>
      <c r="E23" s="17" t="n">
        <f aca="true">IFERROR(INDIRECT(B23 &amp; "!D29"), "0")</f>
        <v>40</v>
      </c>
      <c r="F23" s="17" t="n">
        <f aca="true">IFERROR(INDIRECT(B23 &amp; "!D66"), "0")</f>
        <v>3</v>
      </c>
      <c r="G23" s="28" t="n">
        <f aca="false">IF(C23="","",SUM(D23:F23))</f>
        <v>64</v>
      </c>
      <c r="H23" s="44" t="str">
        <f aca="false">IFERROR(__xludf.dummyfunction("IFERROR(MIN(FILTER(INDIRECT(B23 &amp; ""!B90:B106""), LEFT(INDIRECT(B23 &amp; ""!C90:C106""),1)=""S"")), ""0%"")"),"0%")</f>
        <v>0%</v>
      </c>
      <c r="I23" s="45" t="n">
        <f aca="false">IF(C23="","",MAX(0,ROUND(G23*(1+H23),2)))</f>
        <v>64</v>
      </c>
      <c r="J23" s="46"/>
      <c r="K23" s="46"/>
      <c r="L23" s="46"/>
      <c r="M23" s="47"/>
    </row>
    <row r="24" customFormat="false" ht="15.75" hidden="false" customHeight="true" outlineLevel="0" collapsed="false">
      <c r="A24" s="40" t="n">
        <v>22</v>
      </c>
      <c r="B24" s="41" t="s">
        <v>177</v>
      </c>
      <c r="C24" s="41" t="s">
        <v>178</v>
      </c>
      <c r="D24" s="42" t="e">
        <f aca="true">IFERROR(INDIRECT(B24 &amp; "!D15"), "0")</f>
        <v>#REF!</v>
      </c>
      <c r="E24" s="43" t="e">
        <f aca="true">IFERROR(INDIRECT(B24 &amp; "!D29"), "0")</f>
        <v>#REF!</v>
      </c>
      <c r="F24" s="43" t="e">
        <f aca="true">IFERROR(INDIRECT(B24 &amp; "!D66"), "0")</f>
        <v>#REF!</v>
      </c>
      <c r="G24" s="28" t="e">
        <f aca="false">IF(C24="","",SUM(D24:F24))</f>
        <v>#REF!</v>
      </c>
      <c r="H24" s="44" t="str">
        <f aca="false">IFERROR(__xludf.dummyfunction("IFERROR(MIN(FILTER(INDIRECT(B24 &amp; ""!B90:B106""), LEFT(INDIRECT(B24 &amp; ""!C90:C106""),1)=""S"")), ""0%"")"),"0%")</f>
        <v>0%</v>
      </c>
      <c r="I24" s="45" t="e">
        <f aca="false">IF(C24="","",MAX(0,ROUND(G24*(1+H24),2)))</f>
        <v>#REF!</v>
      </c>
      <c r="J24" s="46"/>
      <c r="K24" s="46"/>
      <c r="L24" s="46"/>
      <c r="M24" s="46"/>
    </row>
    <row r="25" customFormat="false" ht="15.75" hidden="false" customHeight="true" outlineLevel="0" collapsed="false">
      <c r="A25" s="40" t="n">
        <v>23</v>
      </c>
      <c r="B25" s="41" t="s">
        <v>179</v>
      </c>
      <c r="C25" s="41" t="s">
        <v>180</v>
      </c>
      <c r="D25" s="42" t="n">
        <v>0</v>
      </c>
      <c r="E25" s="43" t="n">
        <v>0</v>
      </c>
      <c r="F25" s="43" t="n">
        <v>0</v>
      </c>
      <c r="G25" s="28" t="n">
        <f aca="false">IF(C25="","",SUM(D25:F25))</f>
        <v>0</v>
      </c>
      <c r="H25" s="44" t="str">
        <f aca="false">IFERROR(__xludf.dummyfunction("IFERROR(MIN(FILTER(INDIRECT(B25 &amp; ""!B90:B106""), LEFT(INDIRECT(B25 &amp; ""!C90:C106""),1)=""S"")), ""0%"")"),"0%")</f>
        <v>0%</v>
      </c>
      <c r="I25" s="45" t="n">
        <f aca="false">IF(C25="","",MAX(0,ROUND(G25*(1+H25),2)))</f>
        <v>0</v>
      </c>
      <c r="J25" s="46"/>
      <c r="K25" s="46"/>
      <c r="L25" s="46"/>
      <c r="M25" s="47"/>
      <c r="N25" s="49" t="s">
        <v>181</v>
      </c>
    </row>
    <row r="26" customFormat="false" ht="15.75" hidden="false" customHeight="true" outlineLevel="0" collapsed="false">
      <c r="A26" s="40" t="n">
        <v>24</v>
      </c>
      <c r="B26" s="41" t="s">
        <v>182</v>
      </c>
      <c r="C26" s="41" t="s">
        <v>183</v>
      </c>
      <c r="D26" s="42" t="n">
        <f aca="true" t="array" ref="D26:D26">IFERROR(INDIRECT(B26 &amp; "!D15"), "0")</f>
        <v>23</v>
      </c>
      <c r="E26" s="43" t="str">
        <f aca="true" t="array" ref="E26:E26">IFERROR(INDIRECT(B26 &amp; "!D29"), "0")</f>
        <v>0</v>
      </c>
      <c r="F26" s="43" t="n">
        <f aca="true" t="array" ref="F26:F26">IFERROR(INDIRECT(B26 &amp; "!D66"), "0")</f>
        <v>3</v>
      </c>
      <c r="G26" s="28" t="n">
        <f aca="false">IF(C26="","",SUM(D26:F26))</f>
        <v>26</v>
      </c>
      <c r="H26" s="44" t="str">
        <f aca="false">IFERROR(__xludf.dummyfunction("IFERROR(MIN(FILTER(INDIRECT(B26 &amp; ""!B90:B106""), LEFT(INDIRECT(B26 &amp; ""!C90:C106""),1)=""S"")), ""0%"")"),"0%")</f>
        <v>0%</v>
      </c>
      <c r="I26" s="45" t="n">
        <f aca="false">IF(C26="","",MAX(0,ROUND(G26*(1+H26),2)))</f>
        <v>26</v>
      </c>
      <c r="J26" s="46"/>
      <c r="K26" s="46"/>
      <c r="L26" s="46"/>
      <c r="M26" s="47"/>
    </row>
    <row r="27" customFormat="false" ht="15.75" hidden="false" customHeight="true" outlineLevel="0" collapsed="false"/>
    <row r="28" customFormat="false" ht="15.75" hidden="false" customHeight="true" outlineLevel="0" collapsed="false">
      <c r="C28" s="50" t="s">
        <v>184</v>
      </c>
      <c r="D28" s="51" t="n">
        <f aca="false">COUNT(I3:I26)</f>
        <v>13</v>
      </c>
    </row>
    <row r="29" customFormat="false" ht="15.75" hidden="false" customHeight="true" outlineLevel="0" collapsed="false">
      <c r="C29" s="50" t="s">
        <v>185</v>
      </c>
      <c r="D29" s="23" t="n">
        <f aca="false">IFERROR(AVERAGE(I3:I26),0)</f>
        <v>0</v>
      </c>
    </row>
    <row r="30" customFormat="false" ht="15.75" hidden="false" customHeight="true" outlineLevel="0" collapsed="false">
      <c r="C30" s="50" t="s">
        <v>186</v>
      </c>
      <c r="D30" s="23" t="n">
        <f aca="false">IFERROR(MAX(I3:I26),0)</f>
        <v>0</v>
      </c>
    </row>
    <row r="31" customFormat="false" ht="15.75" hidden="false" customHeight="true" outlineLevel="0" collapsed="false">
      <c r="C31" s="50" t="s">
        <v>187</v>
      </c>
      <c r="D31" s="23" t="n">
        <f aca="false">IFERROR(MIN(I3:I26),0)</f>
        <v>0</v>
      </c>
    </row>
    <row r="32" customFormat="false" ht="15.75" hidden="false" customHeight="true" outlineLevel="0" collapsed="false">
      <c r="C32" s="50" t="s">
        <v>188</v>
      </c>
      <c r="D32" s="51" t="n">
        <f aca="false">COUNTIF(I3:I26,"&gt;=61")</f>
        <v>7</v>
      </c>
    </row>
    <row r="33" customFormat="false" ht="15.75" hidden="false" customHeight="true" outlineLevel="0" collapsed="false">
      <c r="C33" s="50" t="s">
        <v>189</v>
      </c>
      <c r="D33" s="51" t="n">
        <f aca="false">COUNT(I3:I26)-COUNTIF(I3:I26,"&gt;=61")</f>
        <v>6</v>
      </c>
      <c r="K33" s="52"/>
      <c r="L33" s="53"/>
    </row>
    <row r="34" customFormat="false" ht="15.75" hidden="false" customHeight="true" outlineLevel="0" collapsed="false">
      <c r="K34" s="54"/>
      <c r="L34" s="53"/>
    </row>
    <row r="35" customFormat="false" ht="15.75" hidden="false" customHeight="true" outlineLevel="0" collapsed="false">
      <c r="K35" s="54"/>
      <c r="L35" s="53"/>
    </row>
    <row r="36" customFormat="false" ht="15.75" hidden="false" customHeight="true" outlineLevel="0" collapsed="false">
      <c r="K36" s="54"/>
      <c r="L36" s="53"/>
    </row>
    <row r="37" customFormat="false" ht="15.75" hidden="false" customHeight="true" outlineLevel="0" collapsed="false">
      <c r="K37" s="54"/>
      <c r="L37" s="53"/>
    </row>
    <row r="38" customFormat="false" ht="15.75" hidden="false" customHeight="true" outlineLevel="0" collapsed="false">
      <c r="K38" s="54"/>
      <c r="L38" s="53"/>
    </row>
    <row r="39" customFormat="false" ht="15.75" hidden="false" customHeight="true" outlineLevel="0" collapsed="false">
      <c r="K39" s="54"/>
      <c r="L39" s="53"/>
    </row>
    <row r="40" customFormat="false" ht="15.75" hidden="false" customHeight="true" outlineLevel="0" collapsed="false">
      <c r="K40" s="52"/>
      <c r="L40" s="53"/>
    </row>
    <row r="41" customFormat="false" ht="15.75" hidden="false" customHeight="true" outlineLevel="0" collapsed="false">
      <c r="K41" s="54"/>
      <c r="L41" s="53"/>
    </row>
    <row r="42" customFormat="false" ht="15.75" hidden="false" customHeight="true" outlineLevel="0" collapsed="false">
      <c r="K42" s="54"/>
      <c r="L42" s="53"/>
    </row>
    <row r="43" customFormat="false" ht="15.75" hidden="false" customHeight="true" outlineLevel="0" collapsed="false">
      <c r="K43" s="54"/>
      <c r="L43" s="53"/>
    </row>
    <row r="44" customFormat="false" ht="15.75" hidden="false" customHeight="true" outlineLevel="0" collapsed="false">
      <c r="K44" s="54"/>
      <c r="L44" s="53"/>
    </row>
    <row r="45" customFormat="false" ht="15.75" hidden="false" customHeight="true" outlineLevel="0" collapsed="false">
      <c r="K45" s="54"/>
      <c r="L45" s="53"/>
    </row>
    <row r="46" customFormat="false" ht="15.75" hidden="false" customHeight="true" outlineLevel="0" collapsed="false">
      <c r="K46" s="54"/>
      <c r="L46" s="53"/>
    </row>
    <row r="47" customFormat="false" ht="15.75" hidden="false" customHeight="true" outlineLevel="0" collapsed="false">
      <c r="K47" s="54"/>
      <c r="L47" s="53"/>
    </row>
    <row r="48" customFormat="false" ht="15.75" hidden="false" customHeight="true" outlineLevel="0" collapsed="false">
      <c r="K48" s="54"/>
      <c r="L48" s="53"/>
    </row>
    <row r="49" customFormat="false" ht="15.75" hidden="false" customHeight="true" outlineLevel="0" collapsed="false">
      <c r="K49" s="54"/>
      <c r="L49" s="53"/>
    </row>
    <row r="50" customFormat="false" ht="15.75" hidden="false" customHeight="true" outlineLevel="0" collapsed="false">
      <c r="K50" s="52"/>
      <c r="L50" s="53"/>
    </row>
    <row r="51" customFormat="false" ht="15.75" hidden="false" customHeight="true" outlineLevel="0" collapsed="false">
      <c r="K51" s="54"/>
      <c r="L51" s="53"/>
    </row>
    <row r="52" customFormat="false" ht="15.75" hidden="false" customHeight="true" outlineLevel="0" collapsed="false">
      <c r="K52" s="54"/>
      <c r="L52" s="53"/>
    </row>
    <row r="53" customFormat="false" ht="15.75" hidden="false" customHeight="true" outlineLevel="0" collapsed="false">
      <c r="K53" s="54"/>
      <c r="L53" s="53"/>
    </row>
    <row r="54" customFormat="false" ht="15.75" hidden="false" customHeight="true" outlineLevel="0" collapsed="false">
      <c r="K54" s="54"/>
      <c r="L54" s="53"/>
    </row>
    <row r="55" customFormat="false" ht="15.75" hidden="false" customHeight="true" outlineLevel="0" collapsed="false">
      <c r="K55" s="54"/>
      <c r="L55" s="53"/>
    </row>
    <row r="56" customFormat="false" ht="15.75" hidden="false" customHeight="true" outlineLevel="0" collapsed="false">
      <c r="K56" s="54"/>
      <c r="L56" s="53"/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2:Z26">
    <sortState ref="A3:Z26">
      <sortCondition ref="A3:A26"/>
    </sortState>
  </autoFilter>
  <mergeCells count="1">
    <mergeCell ref="A1:M1"/>
  </mergeCells>
  <conditionalFormatting sqref="I3:I26">
    <cfRule type="colorScale" priority="2">
      <colorScale>
        <cfvo type="formula" val="0"/>
        <cfvo type="formula" val="50"/>
        <cfvo type="formula" val="100"/>
        <color rgb="FFFF0000"/>
        <color rgb="FFFFD666"/>
        <color rgb="FF57BB8A"/>
      </colorScale>
    </cfRule>
  </conditionalFormatting>
  <dataValidations count="1">
    <dataValidation allowBlank="true" errorStyle="stop" operator="between" showDropDown="false" showErrorMessage="true" showInputMessage="false" sqref="J3:L26" type="list">
      <formula1>"Si,No,Parcial"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3" activeCellId="0" sqref="A13"/>
    </sheetView>
  </sheetViews>
  <sheetFormatPr defaultColWidth="10.4921875" defaultRowHeight="12.8" customHeight="false" zeroHeight="false" outlineLevelRow="0" outlineLevelCol="0"/>
  <sheetData>
    <row r="1" customFormat="false" ht="13.95" hidden="false" customHeight="false" outlineLevel="0" collapsed="false">
      <c r="A1" s="55" t="s">
        <v>190</v>
      </c>
      <c r="B1" s="55" t="s">
        <v>191</v>
      </c>
    </row>
    <row r="2" customFormat="false" ht="14.15" hidden="false" customHeight="false" outlineLevel="0" collapsed="false">
      <c r="A2" s="55" t="n">
        <v>202406816</v>
      </c>
      <c r="B2" s="55" t="n">
        <v>98</v>
      </c>
    </row>
    <row r="3" customFormat="false" ht="14.15" hidden="false" customHeight="false" outlineLevel="0" collapsed="false">
      <c r="A3" s="55" t="n">
        <v>202405048</v>
      </c>
      <c r="B3" s="55" t="n">
        <v>68</v>
      </c>
    </row>
    <row r="4" customFormat="false" ht="14.15" hidden="false" customHeight="false" outlineLevel="0" collapsed="false">
      <c r="A4" s="55" t="n">
        <v>202404528</v>
      </c>
      <c r="B4" s="55" t="n">
        <v>81</v>
      </c>
    </row>
    <row r="5" customFormat="false" ht="14.15" hidden="false" customHeight="false" outlineLevel="0" collapsed="false">
      <c r="A5" s="55" t="n">
        <v>202505830</v>
      </c>
      <c r="B5" s="55" t="n">
        <v>80</v>
      </c>
    </row>
    <row r="6" customFormat="false" ht="14.15" hidden="false" customHeight="false" outlineLevel="0" collapsed="false">
      <c r="A6" s="55" t="n">
        <v>202501625</v>
      </c>
      <c r="B6" s="55" t="n">
        <v>87</v>
      </c>
    </row>
    <row r="7" customFormat="false" ht="14.15" hidden="false" customHeight="false" outlineLevel="0" collapsed="false">
      <c r="A7" s="55" t="n">
        <v>202201204</v>
      </c>
      <c r="B7" s="55" t="n">
        <v>92</v>
      </c>
    </row>
    <row r="8" customFormat="false" ht="14.15" hidden="false" customHeight="false" outlineLevel="0" collapsed="false">
      <c r="A8" s="55" t="n">
        <v>202507586</v>
      </c>
      <c r="B8" s="55" t="n">
        <v>90</v>
      </c>
    </row>
    <row r="9" customFormat="false" ht="26.85" hidden="false" customHeight="false" outlineLevel="0" collapsed="false">
      <c r="A9" s="55" t="n">
        <v>202501349</v>
      </c>
      <c r="B9" s="55" t="n">
        <v>98</v>
      </c>
    </row>
    <row r="10" customFormat="false" ht="14.15" hidden="false" customHeight="false" outlineLevel="0" collapsed="false">
      <c r="A10" s="55" t="n">
        <v>202407699</v>
      </c>
      <c r="B10" s="55" t="n">
        <v>70</v>
      </c>
    </row>
    <row r="11" customFormat="false" ht="14.15" hidden="false" customHeight="false" outlineLevel="0" collapsed="false">
      <c r="A11" s="55" t="n">
        <v>202403338</v>
      </c>
      <c r="B11" s="55" t="n">
        <v>75.5</v>
      </c>
    </row>
    <row r="12" customFormat="false" ht="14.15" hidden="false" customHeight="false" outlineLevel="0" collapsed="false">
      <c r="A12" s="55" t="n">
        <v>202400066</v>
      </c>
      <c r="B12" s="55" t="n">
        <v>82</v>
      </c>
    </row>
    <row r="13" customFormat="false" ht="14.15" hidden="false" customHeight="false" outlineLevel="0" collapsed="false">
      <c r="A13" s="55" t="n">
        <v>202400155</v>
      </c>
      <c r="B13" s="55" t="n">
        <v>66.5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es-GT</dc:language>
  <cp:lastModifiedBy/>
  <dcterms:modified xsi:type="dcterms:W3CDTF">2026-10-17T22:29:37Z</dcterms:modified>
  <cp:revision>1</cp:revision>
  <dc:subject/>
  <dc:title/>
</cp:coreProperties>
</file>