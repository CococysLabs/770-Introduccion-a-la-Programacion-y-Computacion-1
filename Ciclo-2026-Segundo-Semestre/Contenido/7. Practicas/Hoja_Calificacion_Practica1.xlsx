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de Calificacion" sheetId="1" r:id="rId4"/>
    <sheet state="visible" name="202201204" sheetId="2" r:id="rId5"/>
    <sheet state="visible" name="202507586" sheetId="3" r:id="rId6"/>
    <sheet state="visible" name="202501349" sheetId="4" r:id="rId7"/>
    <sheet state="visible" name="202010778" sheetId="5" r:id="rId8"/>
    <sheet state="visible" name="202308203" sheetId="6" r:id="rId9"/>
    <sheet state="visible" name="202501625" sheetId="7" r:id="rId10"/>
    <sheet state="visible" name="202502481" sheetId="8" r:id="rId11"/>
    <sheet state="visible" name="202406816" sheetId="9" r:id="rId12"/>
    <sheet state="visible" name="202405048" sheetId="10" r:id="rId13"/>
    <sheet state="visible" name="202404528" sheetId="11" r:id="rId14"/>
    <sheet state="visible" name="202403338" sheetId="12" r:id="rId15"/>
    <sheet state="visible" name="202308528" sheetId="13" r:id="rId16"/>
    <sheet state="visible" name="202400066" sheetId="14" r:id="rId17"/>
    <sheet state="visible" name="202400155" sheetId="15" r:id="rId18"/>
    <sheet state="visible" name="202505830" sheetId="16" r:id="rId19"/>
    <sheet state="visible" name="202407699" sheetId="17" r:id="rId20"/>
    <sheet state="visible" name="202400482" sheetId="18" r:id="rId21"/>
    <sheet state="visible" name="202501470" sheetId="19" r:id="rId22"/>
    <sheet state="visible" name="202306260" sheetId="20" r:id="rId23"/>
    <sheet state="visible" name="Consolidado" sheetId="21" r:id="rId24"/>
  </sheets>
  <definedNames/>
  <calcPr/>
  <extLst>
    <ext uri="GoogleSheetsCustomDataVersion2">
      <go:sheetsCustomData xmlns:go="http://customooxmlschemas.google.com/" r:id="rId25" roundtripDataChecksum="QmY3vjjnEmS6HSpOE1uA3dCNUNB7d6+OsEGBNicNd1A="/>
    </ext>
  </extLst>
</workbook>
</file>

<file path=xl/sharedStrings.xml><?xml version="1.0" encoding="utf-8"?>
<sst xmlns="http://schemas.openxmlformats.org/spreadsheetml/2006/main" count="3054" uniqueCount="220">
  <si>
    <t>UNIVERSIDAD DE SAN CARLOS DE GUATEMALA</t>
  </si>
  <si>
    <t>FACULTAD DE INGENIERÍA</t>
  </si>
  <si>
    <t>ESCUELA DE CIENCIAS Y SISTEMAS</t>
  </si>
  <si>
    <t>Introducción a la Programación y Computación 1, Sección B</t>
  </si>
  <si>
    <t>Ing. William Estuardo Escobar Argueta</t>
  </si>
  <si>
    <t>Aux. Fernando José Vicente Velásquez</t>
  </si>
  <si>
    <t>Hoja de Calificación – Práctica 1: Sistema de Estacionamiento</t>
  </si>
  <si>
    <t>Fecha de calificación:</t>
  </si>
  <si>
    <t>Nombre del estudiante:</t>
  </si>
  <si>
    <t>KEVIN APEN</t>
  </si>
  <si>
    <t>Carné:</t>
  </si>
  <si>
    <t>BRAYAN MARTINEZ</t>
  </si>
  <si>
    <t>LEYENDA: complete únicamente las celdas con fondo amarillo (Punteo y Observación). Las filas de sección y los totales son fórmulas y se calculan solos.</t>
  </si>
  <si>
    <t>DIEGO GÓMEZ</t>
  </si>
  <si>
    <t>Ejemplo: si el manual técnico se entregó incompleto, escriba 0.5 en su Punteo y anote "falta descripción de métodos" en Observación. Se permite punteo parcial.</t>
  </si>
  <si>
    <t>En la sección de penalizaciones elija Sí / No; el descuento se aplica automáticamente sobre el total obtenido. Duplique esta hoja (clic derecho &gt; Mover o copiar) por cada estudiante.</t>
  </si>
  <si>
    <t>Descripción de Ponderación</t>
  </si>
  <si>
    <t>Valor</t>
  </si>
  <si>
    <t>Observación</t>
  </si>
  <si>
    <t>Punteo</t>
  </si>
  <si>
    <t>1. HABILIDADES – CÓMO SE PROGRAMA (25 pts)</t>
  </si>
  <si>
    <t>1.1 Uso de arreglos nativos (10 pts)</t>
  </si>
  <si>
    <t>Representa el tablero de 10 x 10 mediante arreglo(s) nativo(s) bidimensional(es)</t>
  </si>
  <si>
    <t>Almacena las placas y las posiciones de los vehículos en arreglos nativos</t>
  </si>
  <si>
    <t>No utiliza colecciones dinámicas (ArrayList, LinkedList, HashMap, HashSet, Stack, Queue)</t>
  </si>
  <si>
    <t>Recorre los arreglos sin errores de índices ni pérdida de información</t>
  </si>
  <si>
    <t>1.2 Calidad de código: modularidad, legibilidad y validaciones (10 pts)</t>
  </si>
  <si>
    <t>El código está dividido en métodos (no toda la solución dentro del método main)</t>
  </si>
  <si>
    <t>Nombres claros de variables y métodos; evita repetición innecesaria de código</t>
  </si>
  <si>
    <t>Valida entradas incorrectas sin finalizar inesperadamente (no lanza excepciones)</t>
  </si>
  <si>
    <t>Comentarios claros, indentación y estructura legible</t>
  </si>
  <si>
    <t>1.3 Entrega, repositorio y documentación (5 pts)</t>
  </si>
  <si>
    <t>Repositorio privado IPC1_Practica1_#Carné_2S26, auxiliar como colaborador y README.md</t>
  </si>
  <si>
    <t>Manual técnico (arreglos, métodos, validaciones, cálculo de ruta y decisiones)</t>
  </si>
  <si>
    <t>Manual de usuario (instrucciones de uso, ejemplos y capturas)</t>
  </si>
  <si>
    <t>Diagrama de flujo (flujo principal, validaciones y opciones del menú)</t>
  </si>
  <si>
    <t>Informe de desarrollo (problemas encontrados, soluciones y evidencias)</t>
  </si>
  <si>
    <t>2. CONOCIMIENTO – QUÉ SE PROGRAMA (55 pts)</t>
  </si>
  <si>
    <t>2.1 Inicialización, entrada/salida y menú principal (5 pts)</t>
  </si>
  <si>
    <t>Genera aleatoriamente la entrada y la salida sobre la vía exterior</t>
  </si>
  <si>
    <t>La entrada y la salida son diferentes entre sí</t>
  </si>
  <si>
    <t>La entrada y la salida no se ubican en las esquinas del tablero</t>
  </si>
  <si>
    <t>Muestra el menú con las 7 opciones y ejecuta la opción seleccionada</t>
  </si>
  <si>
    <t>Valida opciones inválidas y retorna correctamente al menú principal</t>
  </si>
  <si>
    <t>2.2 Ingreso de vehículo, placa, posición, pago y cambio (15 pts)</t>
  </si>
  <si>
    <t>Valida que la placa tenga exactamente 7 caracteres con formato P###LLL</t>
  </si>
  <si>
    <t>Valida que el primer carácter sea la letra P mayúscula</t>
  </si>
  <si>
    <t>Valida que los caracteres 2 al 4 sean números del 0 al 9</t>
  </si>
  <si>
    <t>Valida que los caracteres 5 al 7 sean letras mayúsculas (rechaza minúsculas)</t>
  </si>
  <si>
    <t>Rechaza placas duplicadas dentro del estacionamiento</t>
  </si>
  <si>
    <t>Valida que la fila y la columna estén entre 1 y 8</t>
  </si>
  <si>
    <t>Rechaza el ingreso en un espacio que ya está ocupado</t>
  </si>
  <si>
    <t>Informa cuando los 64 espacios están ocupados (estacionamiento lleno)</t>
  </si>
  <si>
    <t>Rechaza montos negativos y pagos menores a Q10.00, solicitando el monto nuevamente</t>
  </si>
  <si>
    <t>Calcula correctamente el cambio (monto igual y mayor a la tarifa)</t>
  </si>
  <si>
    <t>Registra el vehículo y contabiliza el ingreso únicamente después del pago</t>
  </si>
  <si>
    <t>2.3 Retiro de vehículo (8 pts)</t>
  </si>
  <si>
    <t>Valida la placa ingresada antes de realizar la búsqueda</t>
  </si>
  <si>
    <t>Recorre los arreglos y localiza la placa solicitada</t>
  </si>
  <si>
    <t>Muestra la fila y la columna que ocupaba el vehículo</t>
  </si>
  <si>
    <t>Libera el espacio sin alterar la información de otros vehículos</t>
  </si>
  <si>
    <t>Informa con un mensaje claro si la placa no existe y no modifica el tablero</t>
  </si>
  <si>
    <t>2.4 Visualización del estacionamiento (8 pts)</t>
  </si>
  <si>
    <t>Muestra el tablero completo de 10 x 10</t>
  </si>
  <si>
    <t>Muestra la vía exterior, la entrada y la salida</t>
  </si>
  <si>
    <t>Incluye numeración de filas y columnas</t>
  </si>
  <si>
    <t>Distingue claramente los espacios libres de los ocupados</t>
  </si>
  <si>
    <t>Muestra la cantidad de espacios libres y ocupados de forma consistente</t>
  </si>
  <si>
    <t>2.5 Búsqueda por placa (5 pts)</t>
  </si>
  <si>
    <t>Valida el formato de la placa antes de buscar</t>
  </si>
  <si>
    <t>Recorre todo el arreglo para localizar el vehículo</t>
  </si>
  <si>
    <t>Muestra la fila y la columna del vehículo encontrado</t>
  </si>
  <si>
    <t>Informa adecuadamente cuando la placa no se encuentra estacionada</t>
  </si>
  <si>
    <t>2.6 Ruta más corta entre entrada y salida (8 pts)</t>
  </si>
  <si>
    <t>Calcula la cantidad de posiciones del recorrido en sentido horario</t>
  </si>
  <si>
    <t>Calcula la cantidad de posiciones del recorrido en sentido antihorario</t>
  </si>
  <si>
    <t>Muestra la distancia de ambas rutas</t>
  </si>
  <si>
    <t>Recomienda la ruta menor sin importar el lado donde estén la entrada y la salida</t>
  </si>
  <si>
    <t>Indica correctamente el empate cuando ambas rutas tienen la misma distancia</t>
  </si>
  <si>
    <t>2.7 Mostrar ingresos (6 pts)</t>
  </si>
  <si>
    <t>Contabiliza únicamente los ingresos exitosos con tarifa fija de Q10.00</t>
  </si>
  <si>
    <t>Muestra la cantidad de vehículos cobrados</t>
  </si>
  <si>
    <t>Muestra el total recaudado en quetzales de forma consistente</t>
  </si>
  <si>
    <t>El cambio entregado no incrementa los ingresos y el retiro no los reduce</t>
  </si>
  <si>
    <t>3. VERIFICACIÓN DE AUTORÍA / DEFENSA (20 pts)</t>
  </si>
  <si>
    <t>3.1 Preguntas sobre el código (5 pts)</t>
  </si>
  <si>
    <t>Pregunta teórica 1: explica la lógica y localiza la implementación en el código</t>
  </si>
  <si>
    <t>Pregunta teórica 2: explica la lógica y localiza la implementación en el código</t>
  </si>
  <si>
    <t>3.2 Modificación de código durante la evaluación (15 pts)</t>
  </si>
  <si>
    <t>Ubica en el código la lógica que debe modificar</t>
  </si>
  <si>
    <t>Implementa la modificación solicitada respetando el uso de arreglos nativos</t>
  </si>
  <si>
    <t>Compila el proyecto y demuestra el cambio funcionando</t>
  </si>
  <si>
    <t>TOTAL OBTENIDO (antes de penalizaciones)</t>
  </si>
  <si>
    <t>REQUISITOS PARA OPTAR A LA CALIFICACIÓN (informativo)</t>
  </si>
  <si>
    <t>Requisito</t>
  </si>
  <si>
    <t>Cumple</t>
  </si>
  <si>
    <t>Tecnología establecida: Java, aplicación de consola y uso exclusivo de arreglos nativos</t>
  </si>
  <si>
    <t>Sí</t>
  </si>
  <si>
    <t>Ejecución: el proyecto compila y el archivo .jar funciona correctamente</t>
  </si>
  <si>
    <t>Repositorio: privado, nombre correcto, auxiliar como colaborador y archivos completos</t>
  </si>
  <si>
    <t>Documentación: README, manual técnico, manual de usuario, diagrama de flujo e informe</t>
  </si>
  <si>
    <t>Funcionalidad mínima: muestra el menú, ingresa un vehículo válido y muestra el tablero</t>
  </si>
  <si>
    <t>Autoría: el estudiante se presenta a la evaluación y explica y modifica su código</t>
  </si>
  <si>
    <t>ASPECTOS REQUERIDOS – PENALIZACIONES SOBRE EL TOTAL OBTENIDO</t>
  </si>
  <si>
    <t>Descripción</t>
  </si>
  <si>
    <t>Penalización</t>
  </si>
  <si>
    <t>¿Aplica?</t>
  </si>
  <si>
    <t>Descuento</t>
  </si>
  <si>
    <t>Falta de documentación adecuada (README, manuales, diagrama o informe)</t>
  </si>
  <si>
    <t>No</t>
  </si>
  <si>
    <t>Mal uso de estructura de código, comentarios o indentación (dificulta entender el código)</t>
  </si>
  <si>
    <t>El estudiante realizó commits fuera de la fecha de entrega</t>
  </si>
  <si>
    <t>La aplicación no está desarrollada en Java</t>
  </si>
  <si>
    <t>Uso de librerías no permitidas</t>
  </si>
  <si>
    <t>Uso de ArrayList, LinkedList, List, HashMap u otra colección o estructura dinámica</t>
  </si>
  <si>
    <t>La aplicación no es de consola (implementa interfaz gráfica)</t>
  </si>
  <si>
    <t>Uso de archivos, bases de datos o servicios externos para almacenar información</t>
  </si>
  <si>
    <t>Toda la solución está desarrollada dentro del método main</t>
  </si>
  <si>
    <t>No se agregó al auxiliar como colaborador del repositorio</t>
  </si>
  <si>
    <t>No se siguen instrucciones del repositorio (otro nombre, otro repositorio o falta de estructura de carpetas)</t>
  </si>
  <si>
    <t>El estudiante realizó copia total o parcial de código, documentación o diagramas</t>
  </si>
  <si>
    <t>El estudiante utilizó inteligencia artificial en la mayoría del proyecto</t>
  </si>
  <si>
    <t>El estudiante no presenta el proyecto usando el .jar generado</t>
  </si>
  <si>
    <t>El estudiante no se presenta a la evaluación o no puede explicar ni modificar su código</t>
  </si>
  <si>
    <t>TOTAL DE PENALIZACIONES</t>
  </si>
  <si>
    <t>NOTA FINAL (sobre 100 pts)</t>
  </si>
  <si>
    <t>Observaciones generales:</t>
  </si>
  <si>
    <t>_________________________</t>
  </si>
  <si>
    <t>Firma del Alumno</t>
  </si>
  <si>
    <t>Firma del Auxiliar</t>
  </si>
  <si>
    <t>CRISTIAN HERNANDEZ</t>
  </si>
  <si>
    <t>HANS MEYER</t>
  </si>
  <si>
    <t>CHUNG KIM</t>
  </si>
  <si>
    <t>FRANCISCO CHIVICHON</t>
  </si>
  <si>
    <t>EVELYN CARDONA</t>
  </si>
  <si>
    <t>MÓNIKA CRUZ</t>
  </si>
  <si>
    <t>MELISSA PEREZ</t>
  </si>
  <si>
    <t>ANDY GABRIEL</t>
  </si>
  <si>
    <t>ASTRID MORALES</t>
  </si>
  <si>
    <t>DIEGO ALVARADO</t>
  </si>
  <si>
    <t>ESVIN ROLANDO</t>
  </si>
  <si>
    <t>Naomi axpuac</t>
  </si>
  <si>
    <t>KEVIN MENDOZA</t>
  </si>
  <si>
    <t>ADRIAN ALVAREZ</t>
  </si>
  <si>
    <t>CARLOS ANDRES HERNANDEZ VASQUEZ</t>
  </si>
  <si>
    <t>WILLIAM SAMUEL</t>
  </si>
  <si>
    <t>Consolidado de calificaciones – Práctica 1: Sistema de Estacionamiento</t>
  </si>
  <si>
    <t>Traslade aquí los subtotales de cada estudiante (celdas amarillas). La penalización se escribe como porcentaje negativo, por ejemplo -25%.</t>
  </si>
  <si>
    <t>No.</t>
  </si>
  <si>
    <t>Carné</t>
  </si>
  <si>
    <t>Nombre del estudiante</t>
  </si>
  <si>
    <t>Habilidades (25)</t>
  </si>
  <si>
    <t>Conocimiento (55)</t>
  </si>
  <si>
    <t>Autoría (20)</t>
  </si>
  <si>
    <t>Subtotal</t>
  </si>
  <si>
    <t>Nota final</t>
  </si>
  <si>
    <t>201024808</t>
  </si>
  <si>
    <t>MARTA GABRIELA GÓMEZ DIMAYUGA</t>
  </si>
  <si>
    <t>201503481</t>
  </si>
  <si>
    <t>DIEGO ALFONSO CANEL FUENTES</t>
  </si>
  <si>
    <t>202004723</t>
  </si>
  <si>
    <t>ERMI RONALDO SOTO MEJÍA</t>
  </si>
  <si>
    <t>202010778</t>
  </si>
  <si>
    <t>CHRISTIAN ADRIAN HERNANDEZ JACOME</t>
  </si>
  <si>
    <t>202201204</t>
  </si>
  <si>
    <t>BRYAN ALEXANDER MARTÍNEZ FLORES</t>
  </si>
  <si>
    <t>202300365</t>
  </si>
  <si>
    <t>BRAYAN HOMERO SOSA GONZALEZ</t>
  </si>
  <si>
    <t>202303797</t>
  </si>
  <si>
    <t>ROLANDO AARÓN BARRIOS BOROR</t>
  </si>
  <si>
    <t>202306260</t>
  </si>
  <si>
    <t>WILLIAM SAMUEL CABRERA GÓMEZ</t>
  </si>
  <si>
    <t>202307790</t>
  </si>
  <si>
    <t>DERICK ELESTER VILLALTA LIMA</t>
  </si>
  <si>
    <t>202308203</t>
  </si>
  <si>
    <t>HANS CRISTIAN MEYER DIAZ</t>
  </si>
  <si>
    <t>202308405</t>
  </si>
  <si>
    <t>JENNIFER MARIBEL SAMAYOA VELIZ</t>
  </si>
  <si>
    <t>202308528</t>
  </si>
  <si>
    <t>ASTRID MARIA SUSETH MORALES RODAS</t>
  </si>
  <si>
    <t>202400066</t>
  </si>
  <si>
    <t>DIEGO SEBASTIAN ALVARADO MORATAYA</t>
  </si>
  <si>
    <t>202400155</t>
  </si>
  <si>
    <t>ESVIN FERNANDO ORTEGA GONZÁLEZ</t>
  </si>
  <si>
    <t>202400482</t>
  </si>
  <si>
    <t>ADRIAN EDUARDO ALVAREZ ZAMBRANO</t>
  </si>
  <si>
    <t>202403338</t>
  </si>
  <si>
    <t>ANDY RAÍ TELÓN GABRIEL</t>
  </si>
  <si>
    <t>202404225</t>
  </si>
  <si>
    <t>RODRIGO EMANUEL GONZALEZ FUENTES</t>
  </si>
  <si>
    <t>202404528</t>
  </si>
  <si>
    <t>MELISSA GRISSEL PEREZ RIVAS</t>
  </si>
  <si>
    <t>202405048</t>
  </si>
  <si>
    <t>MONIKA ESTEFANIA CRUZ PALACIOS</t>
  </si>
  <si>
    <t>202405842</t>
  </si>
  <si>
    <t>GABRIEL LEVI ZAPETA MAZARIEGOS</t>
  </si>
  <si>
    <t>202406816</t>
  </si>
  <si>
    <t>EVELYN ARACELY CARDONA AGUILON</t>
  </si>
  <si>
    <t>202407699</t>
  </si>
  <si>
    <t>KEVIN ANDRE MENDOZA VILLEDA</t>
  </si>
  <si>
    <t>202501349</t>
  </si>
  <si>
    <t>DIEGO JOSÉ GÓMEZ LÓPEZ</t>
  </si>
  <si>
    <t>202501470</t>
  </si>
  <si>
    <t>CARLOS ANDRÉS HERNÁNDEZ VÁSQUEZ</t>
  </si>
  <si>
    <t>202501625</t>
  </si>
  <si>
    <t>CHUNG MIN KIM CHEN</t>
  </si>
  <si>
    <t>202502481</t>
  </si>
  <si>
    <t>FRANCISCO JAVIER CHIVICHÓN FERNÁNDEZ</t>
  </si>
  <si>
    <t>202505830</t>
  </si>
  <si>
    <t>NAOMI ROCIO AXPUAC VELASQUEZ</t>
  </si>
  <si>
    <t>202506189</t>
  </si>
  <si>
    <t>JOSE MANUEL AYALA JUAREZ</t>
  </si>
  <si>
    <t>202507586</t>
  </si>
  <si>
    <t>KEVYN JOSUÉ APÉN OTZOY</t>
  </si>
  <si>
    <t>Estudiantes calificados</t>
  </si>
  <si>
    <t>Nota promedio</t>
  </si>
  <si>
    <t>Nota más alta</t>
  </si>
  <si>
    <t>Nota más baja</t>
  </si>
  <si>
    <t>Aprobados (61 pts o más)</t>
  </si>
  <si>
    <t>Reprobados (menos de 61 pts)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</si>
</sst>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"/>
    <numFmt numFmtId="165" formatCode="0.0"/>
    <numFmt numFmtId="166" formatCode="dd/mm/yy"/>
  </numFmts>
  <fonts count="12">
    <font>
      <sz val="11.0"/>
      <color theme="1"/>
      <name val="Calibri"/>
      <scheme val="minor"/>
    </font>
    <font>
      <b/>
      <sz val="10.0"/>
      <color rgb="FF1F4E79"/>
      <name val="Arial"/>
    </font>
    <font>
      <sz val="11.0"/>
      <color theme="1"/>
      <name val="Calibri"/>
    </font>
    <font>
      <b/>
      <sz val="12.0"/>
      <color rgb="FF1F4E79"/>
      <name val="Arial"/>
    </font>
    <font>
      <b/>
      <sz val="10.0"/>
      <color theme="1"/>
      <name val="Arial"/>
    </font>
    <font>
      <i/>
      <sz val="9.0"/>
      <color rgb="FF595959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sz val="10.0"/>
      <color theme="1"/>
      <name val="Arial"/>
    </font>
    <font>
      <b/>
      <sz val="11.0"/>
      <color theme="1"/>
      <name val="Arial"/>
    </font>
    <font/>
    <font>
      <i/>
      <sz val="10.0"/>
      <color rgb="FF80808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</fills>
  <borders count="5">
    <border/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1" fillId="2" fontId="2" numFmtId="0" xfId="0" applyAlignment="1" applyBorder="1" applyFill="1" applyFont="1">
      <alignment readingOrder="0" shrinkToFit="0" vertical="bottom" wrapText="0"/>
    </xf>
    <xf borderId="1" fillId="2" fontId="2" numFmtId="164" xfId="0" applyAlignment="1" applyBorder="1" applyFill="1" applyFont="1" applyNumberFormat="1">
      <alignment readingOrder="0" shrinkToFit="0" vertical="bottom" wrapText="0"/>
    </xf>
    <xf borderId="0" fillId="0" fontId="5" numFmtId="0" xfId="0" applyAlignment="1" applyFont="1">
      <alignment horizontal="left" shrinkToFit="0" vertical="center" wrapText="1"/>
    </xf>
    <xf borderId="1" fillId="3" fontId="6" numFmtId="0" xfId="0" applyAlignment="1" applyBorder="1" applyFill="1" applyFont="1">
      <alignment horizontal="center" shrinkToFit="0" vertical="center" wrapText="0"/>
    </xf>
    <xf borderId="1" fillId="4" fontId="7" numFmtId="0" xfId="0" applyAlignment="1" applyBorder="1" applyFill="1" applyFont="1">
      <alignment horizontal="left" shrinkToFit="0" vertical="center" wrapText="1"/>
    </xf>
    <xf borderId="1" fillId="4" fontId="7" numFmtId="165" xfId="0" applyAlignment="1" applyBorder="1" applyFill="1" applyFont="1" applyNumberFormat="1">
      <alignment horizontal="center" shrinkToFit="0" vertical="center" wrapText="0"/>
    </xf>
    <xf borderId="1" fillId="4" fontId="7" numFmtId="2" xfId="0" applyAlignment="1" applyBorder="1" applyFill="1" applyFont="1" applyNumberFormat="1">
      <alignment horizontal="center" shrinkToFit="0" vertical="center" wrapText="0"/>
    </xf>
    <xf borderId="1" fillId="5" fontId="4" numFmtId="0" xfId="0" applyAlignment="1" applyBorder="1" applyFill="1" applyFont="1">
      <alignment horizontal="left" shrinkToFit="0" vertical="center" wrapText="1"/>
    </xf>
    <xf borderId="1" fillId="5" fontId="4" numFmtId="165" xfId="0" applyAlignment="1" applyBorder="1" applyFill="1" applyFont="1" applyNumberFormat="1">
      <alignment horizontal="center" shrinkToFit="0" vertical="center" wrapText="0"/>
    </xf>
    <xf borderId="1" fillId="5" fontId="4" numFmtId="2" xfId="0" applyAlignment="1" applyBorder="1" applyFill="1" applyFont="1" applyNumberFormat="1">
      <alignment horizontal="center" shrinkToFit="0" vertical="center" wrapText="0"/>
    </xf>
    <xf borderId="1" fillId="0" fontId="8" numFmtId="0" xfId="0" applyAlignment="1" applyBorder="1" applyFont="1">
      <alignment horizontal="left" shrinkToFit="0" vertical="center" wrapText="1"/>
    </xf>
    <xf borderId="1" fillId="0" fontId="8" numFmtId="165" xfId="0" applyAlignment="1" applyBorder="1" applyFont="1" applyNumberFormat="1">
      <alignment horizontal="center" shrinkToFit="0" vertical="center" wrapText="0"/>
    </xf>
    <xf borderId="1" fillId="2" fontId="8" numFmtId="0" xfId="0" applyAlignment="1" applyBorder="1" applyFill="1" applyFont="1">
      <alignment horizontal="left" shrinkToFit="0" vertical="center" wrapText="1"/>
    </xf>
    <xf borderId="1" fillId="2" fontId="8" numFmtId="2" xfId="0" applyAlignment="1" applyBorder="1" applyFill="1" applyFont="1" applyNumberFormat="1">
      <alignment horizontal="center" readingOrder="0" shrinkToFit="0" vertical="center" wrapText="0"/>
    </xf>
    <xf borderId="1" fillId="2" fontId="8" numFmtId="2" xfId="0" applyAlignment="1" applyBorder="1" applyFill="1" applyFont="1" applyNumberFormat="1">
      <alignment horizontal="center" shrinkToFit="0" vertical="center" wrapText="0"/>
    </xf>
    <xf borderId="1" fillId="6" fontId="4" numFmtId="0" xfId="0" applyAlignment="1" applyBorder="1" applyFill="1" applyFont="1">
      <alignment horizontal="left" shrinkToFit="0" vertical="center" wrapText="1"/>
    </xf>
    <xf borderId="1" fillId="6" fontId="4" numFmtId="165" xfId="0" applyAlignment="1" applyBorder="1" applyFill="1" applyFont="1" applyNumberFormat="1">
      <alignment horizontal="center" shrinkToFit="0" vertical="center" wrapText="0"/>
    </xf>
    <xf borderId="1" fillId="6" fontId="4" numFmtId="0" xfId="0" applyAlignment="1" applyBorder="1" applyFill="1" applyFont="1">
      <alignment horizontal="center" shrinkToFit="0" vertical="center" wrapText="0"/>
    </xf>
    <xf borderId="1" fillId="6" fontId="4" numFmtId="2" xfId="0" applyAlignment="1" applyBorder="1" applyFill="1" applyFont="1" applyNumberFormat="1">
      <alignment horizontal="center" shrinkToFit="0" vertical="center" wrapText="0"/>
    </xf>
    <xf borderId="1" fillId="2" fontId="8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shrinkToFit="0" vertical="bottom" wrapText="0"/>
    </xf>
    <xf borderId="1" fillId="0" fontId="8" numFmtId="9" xfId="0" applyAlignment="1" applyBorder="1" applyFont="1" applyNumberFormat="1">
      <alignment horizontal="center" shrinkToFit="0" vertical="center" wrapText="0"/>
    </xf>
    <xf borderId="1" fillId="0" fontId="8" numFmtId="2" xfId="0" applyAlignment="1" applyBorder="1" applyFont="1" applyNumberFormat="1">
      <alignment horizontal="center" shrinkToFit="0" vertical="center" wrapText="0"/>
    </xf>
    <xf borderId="1" fillId="2" fontId="8" numFmtId="0" xfId="0" applyAlignment="1" applyBorder="1" applyFill="1" applyFont="1">
      <alignment horizontal="center" readingOrder="0" shrinkToFit="0" vertical="center" wrapText="0"/>
    </xf>
    <xf borderId="1" fillId="7" fontId="9" numFmtId="0" xfId="0" applyAlignment="1" applyBorder="1" applyFill="1" applyFont="1">
      <alignment horizontal="left" shrinkToFit="0" vertical="center" wrapText="1"/>
    </xf>
    <xf borderId="1" fillId="7" fontId="9" numFmtId="0" xfId="0" applyAlignment="1" applyBorder="1" applyFill="1" applyFont="1">
      <alignment horizontal="center" shrinkToFit="0" vertical="center" wrapText="0"/>
    </xf>
    <xf borderId="1" fillId="7" fontId="9" numFmtId="2" xfId="0" applyAlignment="1" applyBorder="1" applyFill="1" applyFont="1" applyNumberFormat="1">
      <alignment horizontal="center" shrinkToFit="0" vertical="center" wrapText="0"/>
    </xf>
    <xf borderId="2" fillId="2" fontId="2" numFmtId="0" xfId="0" applyAlignment="1" applyBorder="1" applyFill="1" applyFont="1">
      <alignment horizontal="left" shrinkToFit="0" vertical="center" wrapText="1"/>
    </xf>
    <xf borderId="3" fillId="0" fontId="10" numFmtId="0" xfId="0" applyBorder="1" applyFont="1"/>
    <xf borderId="4" fillId="0" fontId="10" numFmtId="0" xfId="0" applyBorder="1" applyFont="1"/>
    <xf borderId="0" fillId="0" fontId="8" numFmtId="0" xfId="0" applyAlignment="1" applyFont="1">
      <alignment shrinkToFit="0" vertical="bottom" wrapText="0"/>
    </xf>
    <xf borderId="1" fillId="2" fontId="2" numFmtId="166" xfId="0" applyAlignment="1" applyBorder="1" applyFill="1" applyFont="1" applyNumberFormat="1">
      <alignment readingOrder="0" shrinkToFit="0" vertical="bottom" wrapText="0"/>
    </xf>
    <xf borderId="1" fillId="2" fontId="8" numFmtId="0" xfId="0" applyAlignment="1" applyBorder="1" applyFill="1" applyFont="1">
      <alignment horizontal="left" readingOrder="0" shrinkToFit="0" vertical="center" wrapText="1"/>
    </xf>
    <xf borderId="0" fillId="0" fontId="5" numFmtId="0" xfId="0" applyAlignment="1" applyFont="1">
      <alignment shrinkToFit="0" vertical="bottom" wrapText="0"/>
    </xf>
    <xf borderId="1" fillId="3" fontId="6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0"/>
    </xf>
    <xf borderId="1" fillId="0" fontId="11" numFmtId="2" xfId="0" applyAlignment="1" applyBorder="1" applyFont="1" applyNumberFormat="1">
      <alignment horizontal="center" shrinkToFit="0" vertical="center" wrapText="0"/>
    </xf>
    <xf borderId="1" fillId="2" fontId="8" numFmtId="9" xfId="0" applyAlignment="1" applyBorder="1" applyFill="1" applyFont="1" applyNumberFormat="1">
      <alignment horizontal="center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1" fillId="0" fontId="4" numFmtId="2" xfId="0" applyAlignment="1" applyBorder="1" applyFont="1" applyNumberFormat="1">
      <alignment horizontal="center" shrinkToFit="0" vertical="center" wrapText="0"/>
    </xf>
    <xf borderId="1" fillId="0" fontId="4" numFmtId="0" xfId="0" applyAlignment="1" applyBorder="1" applyFont="1">
      <alignment horizontal="right" shrinkToFit="0" vertical="center" wrapText="0"/>
    </xf>
    <xf borderId="1" fillId="6" fontId="4" numFmtId="1" xfId="0" applyAlignment="1" applyBorder="1" applyFill="1" applyFont="1" applyNumberFormat="1">
      <alignment horizontal="center" shrinkToFit="0" vertical="center" wrapText="0"/>
    </xf>
  </cellXfs>
  <cellStyles count="1">
    <cellStyle xfId="0" name="Normal" builtinId="0"/>
  </cellStyles>
  <dxfs count="1">
    <dxf>
      <font>
        <sz val="10.0"/>
        <color rgb="FF9C0006"/>
        <name val="Arial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8.0" topLeftCell="A19" activePane="bottomLeft" state="frozen"/>
      <selection activeCell="B20" sqref="B20" pane="bottomLeft"/>
    </sheetView>
  </sheetViews>
  <sheetFormatPr customHeight="1" defaultColWidth="14.43" defaultRowHeight="15.0"/>
  <cols>
    <col customWidth="1" min="1" max="1" width="78.0"/>
    <col customWidth="1" min="2" max="2" width="11.0"/>
    <col customWidth="1" min="3" max="3" width="34.0"/>
    <col customWidth="1" min="4" max="4" width="11.0"/>
    <col customWidth="1" min="5" max="26" width="8.71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3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2"/>
      <c r="B7" s="2"/>
      <c r="C7" s="2"/>
      <c r="D7" s="2"/>
    </row>
    <row r="8">
      <c r="A8" s="3" t="s">
        <v>6</v>
      </c>
      <c r="B8" s="2"/>
      <c r="C8" s="2"/>
      <c r="D8" s="2"/>
    </row>
    <row r="9">
      <c r="A9" s="2"/>
      <c r="B9" s="2"/>
      <c r="C9" s="2"/>
      <c r="D9" s="2"/>
    </row>
    <row r="10">
      <c r="A10" s="4" t="s">
        <v>7</v>
      </c>
      <c r="B10" s="5"/>
      <c r="C10" s="2"/>
      <c r="D10" s="2"/>
    </row>
    <row r="11">
      <c r="A11" s="4" t="s">
        <v>8</v>
      </c>
      <c r="B11" s="5"/>
      <c r="C11" s="2"/>
      <c r="D11" s="2"/>
    </row>
    <row r="12">
      <c r="A12" s="4" t="s">
        <v>10</v>
      </c>
      <c r="B12" s="5"/>
      <c r="C12" s="2"/>
      <c r="D12" s="2"/>
    </row>
    <row r="13">
      <c r="A13" s="2"/>
      <c r="B13" s="2"/>
      <c r="C13" s="2"/>
      <c r="D13" s="2"/>
    </row>
    <row r="14" ht="25.5" customHeight="1">
      <c r="A14" s="8" t="s">
        <v>12</v>
      </c>
    </row>
    <row r="15" ht="25.5" customHeight="1">
      <c r="A15" s="8" t="s">
        <v>14</v>
      </c>
    </row>
    <row r="16" ht="25.5" customHeight="1">
      <c r="A16" s="8" t="s">
        <v>15</v>
      </c>
    </row>
    <row r="17">
      <c r="A17" s="2"/>
      <c r="B17" s="2"/>
      <c r="C17" s="2"/>
      <c r="D17" s="2"/>
    </row>
    <row r="18" ht="19.5" customHeight="1">
      <c r="A18" s="9" t="s">
        <v>16</v>
      </c>
      <c r="B18" s="9" t="s">
        <v>17</v>
      </c>
      <c r="C18" s="9" t="s">
        <v>18</v>
      </c>
      <c r="D18" s="9" t="s">
        <v>19</v>
      </c>
    </row>
    <row r="19" ht="19.5" customHeight="1">
      <c r="A19" s="10" t="s">
        <v>20</v>
      </c>
      <c r="B19" s="11">
        <f>B20+B25+B30</f>
        <v>25</v>
      </c>
      <c r="C19" s="10"/>
      <c r="D19" s="12">
        <f>D20+D25+D30</f>
        <v>0</v>
      </c>
    </row>
    <row r="20" ht="18.0" customHeight="1">
      <c r="A20" s="13" t="s">
        <v>21</v>
      </c>
      <c r="B20" s="14">
        <f>SUM(B21:B24)</f>
        <v>10</v>
      </c>
      <c r="C20" s="13"/>
      <c r="D20" s="15">
        <f>SUM(D21:D24)</f>
        <v>0</v>
      </c>
    </row>
    <row r="21" ht="15.0" customHeight="1">
      <c r="A21" s="16" t="s">
        <v>22</v>
      </c>
      <c r="B21" s="17">
        <v>3.0</v>
      </c>
      <c r="C21" s="18"/>
      <c r="D21" s="20"/>
    </row>
    <row r="22" ht="15.0" customHeight="1">
      <c r="A22" s="16" t="s">
        <v>23</v>
      </c>
      <c r="B22" s="17">
        <v>3.0</v>
      </c>
      <c r="C22" s="18"/>
      <c r="D22" s="20"/>
    </row>
    <row r="23" ht="15.0" customHeight="1">
      <c r="A23" s="16" t="s">
        <v>24</v>
      </c>
      <c r="B23" s="17">
        <v>2.0</v>
      </c>
      <c r="C23" s="18"/>
      <c r="D23" s="20"/>
    </row>
    <row r="24" ht="15.0" customHeight="1">
      <c r="A24" s="16" t="s">
        <v>25</v>
      </c>
      <c r="B24" s="17">
        <v>2.0</v>
      </c>
      <c r="C24" s="18"/>
      <c r="D24" s="20"/>
    </row>
    <row r="25" ht="18.0" customHeight="1">
      <c r="A25" s="13" t="s">
        <v>26</v>
      </c>
      <c r="B25" s="14">
        <f>SUM(B26:B29)</f>
        <v>10</v>
      </c>
      <c r="C25" s="13"/>
      <c r="D25" s="15">
        <f>SUM(D26:D29)</f>
        <v>0</v>
      </c>
    </row>
    <row r="26" ht="15.0" customHeight="1">
      <c r="A26" s="16" t="s">
        <v>27</v>
      </c>
      <c r="B26" s="17">
        <v>4.0</v>
      </c>
      <c r="C26" s="18"/>
      <c r="D26" s="20"/>
    </row>
    <row r="27" ht="15.0" customHeight="1">
      <c r="A27" s="16" t="s">
        <v>28</v>
      </c>
      <c r="B27" s="17">
        <v>2.0</v>
      </c>
      <c r="C27" s="18"/>
      <c r="D27" s="20"/>
    </row>
    <row r="28" ht="15.0" customHeight="1">
      <c r="A28" s="16" t="s">
        <v>29</v>
      </c>
      <c r="B28" s="17">
        <v>3.0</v>
      </c>
      <c r="C28" s="18"/>
      <c r="D28" s="20"/>
    </row>
    <row r="29" ht="15.0" customHeight="1">
      <c r="A29" s="16" t="s">
        <v>30</v>
      </c>
      <c r="B29" s="17">
        <v>1.0</v>
      </c>
      <c r="C29" s="18"/>
      <c r="D29" s="20"/>
    </row>
    <row r="30" ht="18.0" customHeight="1">
      <c r="A30" s="13" t="s">
        <v>31</v>
      </c>
      <c r="B30" s="14">
        <f>SUM(B31:B35)</f>
        <v>5</v>
      </c>
      <c r="C30" s="13"/>
      <c r="D30" s="15">
        <f>SUM(D31:D35)</f>
        <v>0</v>
      </c>
    </row>
    <row r="31" ht="15.0" customHeight="1">
      <c r="A31" s="16" t="s">
        <v>32</v>
      </c>
      <c r="B31" s="17">
        <v>1.0</v>
      </c>
      <c r="C31" s="18"/>
      <c r="D31" s="20"/>
    </row>
    <row r="32" ht="15.0" customHeight="1">
      <c r="A32" s="16" t="s">
        <v>33</v>
      </c>
      <c r="B32" s="17">
        <v>1.0</v>
      </c>
      <c r="C32" s="18"/>
      <c r="D32" s="20"/>
    </row>
    <row r="33" ht="15.0" customHeight="1">
      <c r="A33" s="16" t="s">
        <v>34</v>
      </c>
      <c r="B33" s="17">
        <v>1.0</v>
      </c>
      <c r="C33" s="18"/>
      <c r="D33" s="20"/>
    </row>
    <row r="34" ht="15.0" customHeight="1">
      <c r="A34" s="16" t="s">
        <v>35</v>
      </c>
      <c r="B34" s="17">
        <v>1.0</v>
      </c>
      <c r="C34" s="18"/>
      <c r="D34" s="20"/>
    </row>
    <row r="35" ht="15.0" customHeight="1">
      <c r="A35" s="16" t="s">
        <v>36</v>
      </c>
      <c r="B35" s="17">
        <v>1.0</v>
      </c>
      <c r="C35" s="18"/>
      <c r="D35" s="20"/>
    </row>
    <row r="36" ht="19.5" customHeight="1">
      <c r="A36" s="10" t="s">
        <v>37</v>
      </c>
      <c r="B36" s="11">
        <f>B37+B43+B55+B61+B67+B72+B78</f>
        <v>55</v>
      </c>
      <c r="C36" s="10"/>
      <c r="D36" s="12">
        <f>D37+D43+D55+D61+D67+D72+D78</f>
        <v>0</v>
      </c>
    </row>
    <row r="37" ht="18.0" customHeight="1">
      <c r="A37" s="13" t="s">
        <v>38</v>
      </c>
      <c r="B37" s="14">
        <f>SUM(B38:B42)</f>
        <v>5</v>
      </c>
      <c r="C37" s="13"/>
      <c r="D37" s="15">
        <f>SUM(D38:D42)</f>
        <v>0</v>
      </c>
    </row>
    <row r="38" ht="15.0" customHeight="1">
      <c r="A38" s="16" t="s">
        <v>39</v>
      </c>
      <c r="B38" s="17">
        <v>1.0</v>
      </c>
      <c r="C38" s="18"/>
      <c r="D38" s="20"/>
    </row>
    <row r="39" ht="15.0" customHeight="1">
      <c r="A39" s="16" t="s">
        <v>40</v>
      </c>
      <c r="B39" s="17">
        <v>1.0</v>
      </c>
      <c r="C39" s="18"/>
      <c r="D39" s="20"/>
    </row>
    <row r="40" ht="15.0" customHeight="1">
      <c r="A40" s="16" t="s">
        <v>41</v>
      </c>
      <c r="B40" s="17">
        <v>1.0</v>
      </c>
      <c r="C40" s="18"/>
      <c r="D40" s="20"/>
    </row>
    <row r="41" ht="15.0" customHeight="1">
      <c r="A41" s="16" t="s">
        <v>42</v>
      </c>
      <c r="B41" s="17">
        <v>1.0</v>
      </c>
      <c r="C41" s="18"/>
      <c r="D41" s="20"/>
    </row>
    <row r="42" ht="15.0" customHeight="1">
      <c r="A42" s="16" t="s">
        <v>43</v>
      </c>
      <c r="B42" s="17">
        <v>1.0</v>
      </c>
      <c r="C42" s="18"/>
      <c r="D42" s="20"/>
    </row>
    <row r="43" ht="18.0" customHeight="1">
      <c r="A43" s="13" t="s">
        <v>44</v>
      </c>
      <c r="B43" s="14">
        <f>SUM(B44:B54)</f>
        <v>15</v>
      </c>
      <c r="C43" s="13"/>
      <c r="D43" s="15">
        <f>SUM(D44:D54)</f>
        <v>0</v>
      </c>
    </row>
    <row r="44" ht="15.0" customHeight="1">
      <c r="A44" s="16" t="s">
        <v>45</v>
      </c>
      <c r="B44" s="17">
        <v>2.0</v>
      </c>
      <c r="C44" s="18"/>
      <c r="D44" s="20"/>
    </row>
    <row r="45" ht="15.0" customHeight="1">
      <c r="A45" s="16" t="s">
        <v>46</v>
      </c>
      <c r="B45" s="17">
        <v>1.0</v>
      </c>
      <c r="C45" s="18"/>
      <c r="D45" s="20"/>
    </row>
    <row r="46" ht="15.0" customHeight="1">
      <c r="A46" s="16" t="s">
        <v>47</v>
      </c>
      <c r="B46" s="17">
        <v>1.0</v>
      </c>
      <c r="C46" s="18"/>
      <c r="D46" s="20"/>
    </row>
    <row r="47" ht="15.0" customHeight="1">
      <c r="A47" s="16" t="s">
        <v>48</v>
      </c>
      <c r="B47" s="17">
        <v>1.0</v>
      </c>
      <c r="C47" s="18"/>
      <c r="D47" s="20"/>
    </row>
    <row r="48" ht="15.0" customHeight="1">
      <c r="A48" s="16" t="s">
        <v>49</v>
      </c>
      <c r="B48" s="17">
        <v>2.0</v>
      </c>
      <c r="C48" s="18"/>
      <c r="D48" s="20"/>
    </row>
    <row r="49" ht="15.0" customHeight="1">
      <c r="A49" s="16" t="s">
        <v>50</v>
      </c>
      <c r="B49" s="17">
        <v>2.0</v>
      </c>
      <c r="C49" s="18"/>
      <c r="D49" s="20"/>
    </row>
    <row r="50" ht="15.0" customHeight="1">
      <c r="A50" s="16" t="s">
        <v>51</v>
      </c>
      <c r="B50" s="17">
        <v>1.0</v>
      </c>
      <c r="C50" s="18"/>
      <c r="D50" s="20"/>
    </row>
    <row r="51" ht="15.0" customHeight="1">
      <c r="A51" s="16" t="s">
        <v>52</v>
      </c>
      <c r="B51" s="17">
        <v>1.0</v>
      </c>
      <c r="C51" s="18"/>
      <c r="D51" s="20"/>
    </row>
    <row r="52" ht="15.0" customHeight="1">
      <c r="A52" s="16" t="s">
        <v>53</v>
      </c>
      <c r="B52" s="17">
        <v>2.0</v>
      </c>
      <c r="C52" s="18"/>
      <c r="D52" s="20"/>
    </row>
    <row r="53" ht="15.0" customHeight="1">
      <c r="A53" s="16" t="s">
        <v>54</v>
      </c>
      <c r="B53" s="17">
        <v>1.0</v>
      </c>
      <c r="C53" s="18"/>
      <c r="D53" s="20"/>
    </row>
    <row r="54" ht="15.0" customHeight="1">
      <c r="A54" s="16" t="s">
        <v>55</v>
      </c>
      <c r="B54" s="17">
        <v>1.0</v>
      </c>
      <c r="C54" s="18"/>
      <c r="D54" s="20"/>
    </row>
    <row r="55" ht="18.0" customHeight="1">
      <c r="A55" s="13" t="s">
        <v>56</v>
      </c>
      <c r="B55" s="14">
        <f>SUM(B56:B60)</f>
        <v>8</v>
      </c>
      <c r="C55" s="13"/>
      <c r="D55" s="15">
        <f>SUM(D56:D60)</f>
        <v>0</v>
      </c>
    </row>
    <row r="56" ht="15.0" customHeight="1">
      <c r="A56" s="16" t="s">
        <v>57</v>
      </c>
      <c r="B56" s="17">
        <v>1.0</v>
      </c>
      <c r="C56" s="18"/>
      <c r="D56" s="20"/>
    </row>
    <row r="57" ht="15.0" customHeight="1">
      <c r="A57" s="16" t="s">
        <v>58</v>
      </c>
      <c r="B57" s="17">
        <v>2.0</v>
      </c>
      <c r="C57" s="18"/>
      <c r="D57" s="20"/>
    </row>
    <row r="58" ht="15.0" customHeight="1">
      <c r="A58" s="16" t="s">
        <v>59</v>
      </c>
      <c r="B58" s="17">
        <v>2.0</v>
      </c>
      <c r="C58" s="18"/>
      <c r="D58" s="20"/>
    </row>
    <row r="59" ht="15.0" customHeight="1">
      <c r="A59" s="16" t="s">
        <v>60</v>
      </c>
      <c r="B59" s="17">
        <v>2.0</v>
      </c>
      <c r="C59" s="18"/>
      <c r="D59" s="20"/>
    </row>
    <row r="60" ht="15.0" customHeight="1">
      <c r="A60" s="16" t="s">
        <v>61</v>
      </c>
      <c r="B60" s="17">
        <v>1.0</v>
      </c>
      <c r="C60" s="18"/>
      <c r="D60" s="20"/>
    </row>
    <row r="61" ht="18.0" customHeight="1">
      <c r="A61" s="13" t="s">
        <v>62</v>
      </c>
      <c r="B61" s="14">
        <f>SUM(B62:B66)</f>
        <v>8</v>
      </c>
      <c r="C61" s="13"/>
      <c r="D61" s="15">
        <f>SUM(D62:D66)</f>
        <v>0</v>
      </c>
    </row>
    <row r="62" ht="15.0" customHeight="1">
      <c r="A62" s="16" t="s">
        <v>63</v>
      </c>
      <c r="B62" s="17">
        <v>2.0</v>
      </c>
      <c r="C62" s="18"/>
      <c r="D62" s="20"/>
    </row>
    <row r="63" ht="15.0" customHeight="1">
      <c r="A63" s="16" t="s">
        <v>64</v>
      </c>
      <c r="B63" s="17">
        <v>2.0</v>
      </c>
      <c r="C63" s="18"/>
      <c r="D63" s="20"/>
    </row>
    <row r="64" ht="15.0" customHeight="1">
      <c r="A64" s="16" t="s">
        <v>65</v>
      </c>
      <c r="B64" s="17">
        <v>1.0</v>
      </c>
      <c r="C64" s="18"/>
      <c r="D64" s="20"/>
    </row>
    <row r="65" ht="15.0" customHeight="1">
      <c r="A65" s="16" t="s">
        <v>66</v>
      </c>
      <c r="B65" s="17">
        <v>2.0</v>
      </c>
      <c r="C65" s="18"/>
      <c r="D65" s="20"/>
    </row>
    <row r="66" ht="15.0" customHeight="1">
      <c r="A66" s="16" t="s">
        <v>67</v>
      </c>
      <c r="B66" s="17">
        <v>1.0</v>
      </c>
      <c r="C66" s="18"/>
      <c r="D66" s="20"/>
    </row>
    <row r="67" ht="18.0" customHeight="1">
      <c r="A67" s="13" t="s">
        <v>68</v>
      </c>
      <c r="B67" s="14">
        <f>SUM(B68:B71)</f>
        <v>5</v>
      </c>
      <c r="C67" s="13"/>
      <c r="D67" s="15">
        <f>SUM(D68:D71)</f>
        <v>0</v>
      </c>
    </row>
    <row r="68" ht="15.0" customHeight="1">
      <c r="A68" s="16" t="s">
        <v>69</v>
      </c>
      <c r="B68" s="17">
        <v>1.0</v>
      </c>
      <c r="C68" s="18"/>
      <c r="D68" s="20"/>
    </row>
    <row r="69" ht="15.0" customHeight="1">
      <c r="A69" s="16" t="s">
        <v>70</v>
      </c>
      <c r="B69" s="17">
        <v>2.0</v>
      </c>
      <c r="C69" s="18"/>
      <c r="D69" s="20"/>
    </row>
    <row r="70" ht="15.0" customHeight="1">
      <c r="A70" s="16" t="s">
        <v>71</v>
      </c>
      <c r="B70" s="17">
        <v>1.0</v>
      </c>
      <c r="C70" s="18"/>
      <c r="D70" s="20"/>
    </row>
    <row r="71" ht="15.0" customHeight="1">
      <c r="A71" s="16" t="s">
        <v>72</v>
      </c>
      <c r="B71" s="17">
        <v>1.0</v>
      </c>
      <c r="C71" s="18"/>
      <c r="D71" s="20"/>
    </row>
    <row r="72" ht="18.0" customHeight="1">
      <c r="A72" s="13" t="s">
        <v>73</v>
      </c>
      <c r="B72" s="14">
        <f>SUM(B73:B77)</f>
        <v>8</v>
      </c>
      <c r="C72" s="13"/>
      <c r="D72" s="15">
        <f>SUM(D73:D77)</f>
        <v>0</v>
      </c>
    </row>
    <row r="73" ht="15.0" customHeight="1">
      <c r="A73" s="16" t="s">
        <v>74</v>
      </c>
      <c r="B73" s="17">
        <v>2.0</v>
      </c>
      <c r="C73" s="18"/>
      <c r="D73" s="20"/>
    </row>
    <row r="74" ht="15.0" customHeight="1">
      <c r="A74" s="16" t="s">
        <v>75</v>
      </c>
      <c r="B74" s="17">
        <v>2.0</v>
      </c>
      <c r="C74" s="18"/>
      <c r="D74" s="20"/>
    </row>
    <row r="75" ht="15.0" customHeight="1">
      <c r="A75" s="16" t="s">
        <v>76</v>
      </c>
      <c r="B75" s="17">
        <v>1.0</v>
      </c>
      <c r="C75" s="18"/>
      <c r="D75" s="20"/>
    </row>
    <row r="76" ht="15.0" customHeight="1">
      <c r="A76" s="16" t="s">
        <v>77</v>
      </c>
      <c r="B76" s="17">
        <v>2.0</v>
      </c>
      <c r="C76" s="18"/>
      <c r="D76" s="20"/>
    </row>
    <row r="77" ht="15.0" customHeight="1">
      <c r="A77" s="16" t="s">
        <v>78</v>
      </c>
      <c r="B77" s="17">
        <v>1.0</v>
      </c>
      <c r="C77" s="18"/>
      <c r="D77" s="20"/>
    </row>
    <row r="78" ht="18.0" customHeight="1">
      <c r="A78" s="13" t="s">
        <v>79</v>
      </c>
      <c r="B78" s="14">
        <f>SUM(B79:B82)</f>
        <v>6</v>
      </c>
      <c r="C78" s="13"/>
      <c r="D78" s="15">
        <f>SUM(D79:D82)</f>
        <v>0</v>
      </c>
    </row>
    <row r="79" ht="15.0" customHeight="1">
      <c r="A79" s="16" t="s">
        <v>80</v>
      </c>
      <c r="B79" s="17">
        <v>2.0</v>
      </c>
      <c r="C79" s="18"/>
      <c r="D79" s="20"/>
    </row>
    <row r="80" ht="15.0" customHeight="1">
      <c r="A80" s="16" t="s">
        <v>81</v>
      </c>
      <c r="B80" s="17">
        <v>1.0</v>
      </c>
      <c r="C80" s="18"/>
      <c r="D80" s="20"/>
    </row>
    <row r="81" ht="15.0" customHeight="1">
      <c r="A81" s="16" t="s">
        <v>82</v>
      </c>
      <c r="B81" s="17">
        <v>2.0</v>
      </c>
      <c r="C81" s="18"/>
      <c r="D81" s="20"/>
    </row>
    <row r="82" ht="15.0" customHeight="1">
      <c r="A82" s="16" t="s">
        <v>83</v>
      </c>
      <c r="B82" s="17">
        <v>1.0</v>
      </c>
      <c r="C82" s="18"/>
      <c r="D82" s="20"/>
    </row>
    <row r="83" ht="19.5" customHeight="1">
      <c r="A83" s="10" t="s">
        <v>84</v>
      </c>
      <c r="B83" s="11">
        <f>B84+B87</f>
        <v>20</v>
      </c>
      <c r="C83" s="10"/>
      <c r="D83" s="12">
        <f>D84+D87</f>
        <v>0</v>
      </c>
    </row>
    <row r="84" ht="18.0" customHeight="1">
      <c r="A84" s="13" t="s">
        <v>85</v>
      </c>
      <c r="B84" s="14">
        <f>SUM(B85:B86)</f>
        <v>5</v>
      </c>
      <c r="C84" s="13"/>
      <c r="D84" s="15">
        <f>SUM(D85:D86)</f>
        <v>0</v>
      </c>
    </row>
    <row r="85" ht="15.0" customHeight="1">
      <c r="A85" s="16" t="s">
        <v>86</v>
      </c>
      <c r="B85" s="17">
        <v>2.5</v>
      </c>
      <c r="C85" s="18"/>
      <c r="D85" s="20"/>
    </row>
    <row r="86" ht="15.0" customHeight="1">
      <c r="A86" s="16" t="s">
        <v>87</v>
      </c>
      <c r="B86" s="17">
        <v>2.5</v>
      </c>
      <c r="C86" s="18"/>
      <c r="D86" s="20"/>
    </row>
    <row r="87" ht="18.0" customHeight="1">
      <c r="A87" s="13" t="s">
        <v>88</v>
      </c>
      <c r="B87" s="14">
        <f>SUM(B88:B90)</f>
        <v>15</v>
      </c>
      <c r="C87" s="13"/>
      <c r="D87" s="15">
        <f>SUM(D88:D90)</f>
        <v>0</v>
      </c>
    </row>
    <row r="88" ht="15.0" customHeight="1">
      <c r="A88" s="16" t="s">
        <v>89</v>
      </c>
      <c r="B88" s="17">
        <v>5.0</v>
      </c>
      <c r="C88" s="18"/>
      <c r="D88" s="20"/>
    </row>
    <row r="89" ht="15.0" customHeight="1">
      <c r="A89" s="16" t="s">
        <v>90</v>
      </c>
      <c r="B89" s="17">
        <v>5.0</v>
      </c>
      <c r="C89" s="18"/>
      <c r="D89" s="20"/>
    </row>
    <row r="90" ht="15.0" customHeight="1">
      <c r="A90" s="16" t="s">
        <v>91</v>
      </c>
      <c r="B90" s="17">
        <v>5.0</v>
      </c>
      <c r="C90" s="18"/>
      <c r="D90" s="20"/>
    </row>
    <row r="91" ht="19.5" customHeight="1">
      <c r="A91" s="21" t="s">
        <v>92</v>
      </c>
      <c r="B91" s="22">
        <f>B19+B36+B83</f>
        <v>100</v>
      </c>
      <c r="C91" s="23"/>
      <c r="D91" s="24">
        <f>D19+D36+D83</f>
        <v>0</v>
      </c>
    </row>
    <row r="92" ht="15.75" customHeight="1">
      <c r="A92" s="2"/>
      <c r="B92" s="2"/>
      <c r="C92" s="2"/>
      <c r="D92" s="2"/>
    </row>
    <row r="93" ht="15.75" customHeight="1">
      <c r="A93" s="1" t="s">
        <v>93</v>
      </c>
      <c r="B93" s="2"/>
      <c r="C93" s="2"/>
      <c r="D93" s="2"/>
    </row>
    <row r="94" ht="15.75" customHeight="1">
      <c r="A94" s="9" t="s">
        <v>94</v>
      </c>
      <c r="B94" s="9" t="s">
        <v>95</v>
      </c>
      <c r="C94" s="9" t="s">
        <v>18</v>
      </c>
      <c r="D94" s="9"/>
    </row>
    <row r="95" ht="15.75" customHeight="1">
      <c r="A95" s="16" t="s">
        <v>96</v>
      </c>
      <c r="B95" s="25" t="s">
        <v>97</v>
      </c>
      <c r="C95" s="26"/>
      <c r="D95" s="27"/>
    </row>
    <row r="96" ht="15.75" customHeight="1">
      <c r="A96" s="16" t="s">
        <v>98</v>
      </c>
      <c r="B96" s="25" t="s">
        <v>97</v>
      </c>
      <c r="C96" s="26"/>
      <c r="D96" s="27"/>
    </row>
    <row r="97" ht="15.75" customHeight="1">
      <c r="A97" s="16" t="s">
        <v>99</v>
      </c>
      <c r="B97" s="25" t="s">
        <v>97</v>
      </c>
      <c r="C97" s="26"/>
      <c r="D97" s="27"/>
    </row>
    <row r="98" ht="15.75" customHeight="1">
      <c r="A98" s="16" t="s">
        <v>100</v>
      </c>
      <c r="B98" s="25" t="s">
        <v>97</v>
      </c>
      <c r="C98" s="26"/>
      <c r="D98" s="27"/>
    </row>
    <row r="99" ht="15.75" customHeight="1">
      <c r="A99" s="16" t="s">
        <v>101</v>
      </c>
      <c r="B99" s="25" t="s">
        <v>97</v>
      </c>
      <c r="C99" s="26"/>
      <c r="D99" s="27"/>
    </row>
    <row r="100" ht="15.75" customHeight="1">
      <c r="A100" s="16" t="s">
        <v>102</v>
      </c>
      <c r="B100" s="25" t="s">
        <v>97</v>
      </c>
      <c r="C100" s="26"/>
      <c r="D100" s="27"/>
    </row>
    <row r="101" ht="15.75" customHeight="1">
      <c r="A101" s="2"/>
      <c r="B101" s="2"/>
      <c r="C101" s="2"/>
      <c r="D101" s="2"/>
    </row>
    <row r="102" ht="15.75" customHeight="1">
      <c r="A102" s="1" t="s">
        <v>103</v>
      </c>
      <c r="B102" s="2"/>
      <c r="C102" s="2"/>
      <c r="D102" s="2"/>
    </row>
    <row r="103" ht="15.75" customHeight="1">
      <c r="A103" s="9" t="s">
        <v>104</v>
      </c>
      <c r="B103" s="9" t="s">
        <v>105</v>
      </c>
      <c r="C103" s="9" t="s">
        <v>106</v>
      </c>
      <c r="D103" s="9" t="s">
        <v>107</v>
      </c>
    </row>
    <row r="104" ht="15.75" customHeight="1">
      <c r="A104" s="16" t="s">
        <v>108</v>
      </c>
      <c r="B104" s="28">
        <v>-0.3</v>
      </c>
      <c r="C104" s="25" t="s">
        <v>109</v>
      </c>
      <c r="D104" s="29">
        <f t="shared" ref="D104:D118" si="1">IF(C104="Sí",$D$91*B104,0)</f>
        <v>0</v>
      </c>
    </row>
    <row r="105" ht="15.75" customHeight="1">
      <c r="A105" s="16" t="s">
        <v>110</v>
      </c>
      <c r="B105" s="28">
        <v>-0.2</v>
      </c>
      <c r="C105" s="25" t="s">
        <v>109</v>
      </c>
      <c r="D105" s="29">
        <f t="shared" si="1"/>
        <v>0</v>
      </c>
    </row>
    <row r="106" ht="15.75" customHeight="1">
      <c r="A106" s="16" t="s">
        <v>111</v>
      </c>
      <c r="B106" s="28">
        <v>-1.0</v>
      </c>
      <c r="C106" s="25" t="s">
        <v>109</v>
      </c>
      <c r="D106" s="29">
        <f t="shared" si="1"/>
        <v>0</v>
      </c>
    </row>
    <row r="107" ht="15.75" customHeight="1">
      <c r="A107" s="16" t="s">
        <v>112</v>
      </c>
      <c r="B107" s="28">
        <v>-1.0</v>
      </c>
      <c r="C107" s="25" t="s">
        <v>109</v>
      </c>
      <c r="D107" s="29">
        <f t="shared" si="1"/>
        <v>0</v>
      </c>
    </row>
    <row r="108" ht="15.75" customHeight="1">
      <c r="A108" s="16" t="s">
        <v>113</v>
      </c>
      <c r="B108" s="28">
        <v>-0.75</v>
      </c>
      <c r="C108" s="25" t="s">
        <v>109</v>
      </c>
      <c r="D108" s="29">
        <f t="shared" si="1"/>
        <v>0</v>
      </c>
    </row>
    <row r="109" ht="15.75" customHeight="1">
      <c r="A109" s="16" t="s">
        <v>114</v>
      </c>
      <c r="B109" s="28">
        <v>-0.75</v>
      </c>
      <c r="C109" s="25" t="s">
        <v>109</v>
      </c>
      <c r="D109" s="29">
        <f t="shared" si="1"/>
        <v>0</v>
      </c>
    </row>
    <row r="110" ht="15.75" customHeight="1">
      <c r="A110" s="16" t="s">
        <v>115</v>
      </c>
      <c r="B110" s="28">
        <v>-0.9</v>
      </c>
      <c r="C110" s="25" t="s">
        <v>109</v>
      </c>
      <c r="D110" s="29">
        <f t="shared" si="1"/>
        <v>0</v>
      </c>
    </row>
    <row r="111" ht="15.75" customHeight="1">
      <c r="A111" s="16" t="s">
        <v>116</v>
      </c>
      <c r="B111" s="28">
        <v>-0.5</v>
      </c>
      <c r="C111" s="25" t="s">
        <v>109</v>
      </c>
      <c r="D111" s="29">
        <f t="shared" si="1"/>
        <v>0</v>
      </c>
    </row>
    <row r="112" ht="15.75" customHeight="1">
      <c r="A112" s="16" t="s">
        <v>117</v>
      </c>
      <c r="B112" s="28">
        <v>-0.5</v>
      </c>
      <c r="C112" s="25" t="s">
        <v>109</v>
      </c>
      <c r="D112" s="29">
        <f t="shared" si="1"/>
        <v>0</v>
      </c>
    </row>
    <row r="113" ht="15.75" customHeight="1">
      <c r="A113" s="16" t="s">
        <v>118</v>
      </c>
      <c r="B113" s="28">
        <v>-1.0</v>
      </c>
      <c r="C113" s="25" t="s">
        <v>109</v>
      </c>
      <c r="D113" s="29">
        <f t="shared" si="1"/>
        <v>0</v>
      </c>
    </row>
    <row r="114" ht="15.75" customHeight="1">
      <c r="A114" s="16" t="s">
        <v>119</v>
      </c>
      <c r="B114" s="28">
        <v>-0.25</v>
      </c>
      <c r="C114" s="25" t="s">
        <v>109</v>
      </c>
      <c r="D114" s="29">
        <f t="shared" si="1"/>
        <v>0</v>
      </c>
    </row>
    <row r="115" ht="15.75" customHeight="1">
      <c r="A115" s="16" t="s">
        <v>120</v>
      </c>
      <c r="B115" s="28">
        <v>-1.0</v>
      </c>
      <c r="C115" s="25" t="s">
        <v>109</v>
      </c>
      <c r="D115" s="29">
        <f t="shared" si="1"/>
        <v>0</v>
      </c>
    </row>
    <row r="116" ht="15.75" customHeight="1">
      <c r="A116" s="16" t="s">
        <v>121</v>
      </c>
      <c r="B116" s="28">
        <v>-1.0</v>
      </c>
      <c r="C116" s="25" t="s">
        <v>109</v>
      </c>
      <c r="D116" s="29">
        <f t="shared" si="1"/>
        <v>0</v>
      </c>
    </row>
    <row r="117" ht="15.75" customHeight="1">
      <c r="A117" s="16" t="s">
        <v>122</v>
      </c>
      <c r="B117" s="28">
        <v>-0.5</v>
      </c>
      <c r="C117" s="25" t="s">
        <v>109</v>
      </c>
      <c r="D117" s="29">
        <f t="shared" si="1"/>
        <v>0</v>
      </c>
    </row>
    <row r="118" ht="15.75" customHeight="1">
      <c r="A118" s="16" t="s">
        <v>123</v>
      </c>
      <c r="B118" s="28">
        <v>-1.0</v>
      </c>
      <c r="C118" s="25" t="s">
        <v>109</v>
      </c>
      <c r="D118" s="29">
        <f t="shared" si="1"/>
        <v>0</v>
      </c>
    </row>
    <row r="119" ht="15.75" customHeight="1">
      <c r="A119" s="21" t="s">
        <v>124</v>
      </c>
      <c r="B119" s="23"/>
      <c r="C119" s="23"/>
      <c r="D119" s="24">
        <f>SUM(D104:D118)</f>
        <v>0</v>
      </c>
    </row>
    <row r="120" ht="15.75" customHeight="1">
      <c r="A120" s="2"/>
      <c r="B120" s="2"/>
      <c r="C120" s="2"/>
      <c r="D120" s="2"/>
    </row>
    <row r="121" ht="21.75" customHeight="1">
      <c r="A121" s="31" t="s">
        <v>125</v>
      </c>
      <c r="B121" s="32"/>
      <c r="C121" s="32"/>
      <c r="D121" s="33">
        <f>MAX(0,ROUND($D$91+$D$119,2))</f>
        <v>0</v>
      </c>
    </row>
    <row r="122" ht="15.75" customHeight="1">
      <c r="A122" s="2"/>
      <c r="B122" s="2"/>
      <c r="C122" s="2"/>
      <c r="D122" s="2"/>
    </row>
    <row r="123" ht="15.75" customHeight="1">
      <c r="A123" s="4" t="s">
        <v>126</v>
      </c>
      <c r="B123" s="2"/>
      <c r="C123" s="2"/>
      <c r="D123" s="2"/>
    </row>
    <row r="124" ht="18.0" customHeight="1">
      <c r="A124" s="34"/>
      <c r="B124" s="35"/>
      <c r="C124" s="35"/>
      <c r="D124" s="36"/>
    </row>
    <row r="125" ht="18.0" customHeight="1">
      <c r="A125" s="34"/>
      <c r="B125" s="35"/>
      <c r="C125" s="35"/>
      <c r="D125" s="36"/>
    </row>
    <row r="126" ht="18.0" customHeight="1">
      <c r="A126" s="34"/>
      <c r="B126" s="35"/>
      <c r="C126" s="35"/>
      <c r="D126" s="36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37" t="s">
        <v>127</v>
      </c>
      <c r="B129" s="2"/>
      <c r="C129" s="37" t="s">
        <v>127</v>
      </c>
      <c r="D129" s="2"/>
    </row>
    <row r="130" ht="15.75" customHeight="1">
      <c r="A130" s="37" t="s">
        <v>128</v>
      </c>
      <c r="B130" s="2"/>
      <c r="C130" s="37" t="s">
        <v>129</v>
      </c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mergeCells count="6">
    <mergeCell ref="A14:D14"/>
    <mergeCell ref="A15:D15"/>
    <mergeCell ref="A16:D16"/>
    <mergeCell ref="A124:D124"/>
    <mergeCell ref="A125:D125"/>
    <mergeCell ref="A126:D126"/>
  </mergeCells>
  <conditionalFormatting sqref="D19:D90">
    <cfRule type="cellIs" dxfId="0" priority="1" operator="greaterThan">
      <formula>B19</formula>
    </cfRule>
  </conditionalFormatting>
  <dataValidations>
    <dataValidation type="list" allowBlank="1" sqref="B95:B100 C104:C118">
      <formula1>"Sí,No"</formula1>
    </dataValidation>
  </dataValidations>
  <printOptions horizontalCentered="1"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8.0" topLeftCell="A19" activePane="bottomLeft" state="frozen"/>
      <selection activeCell="B20" sqref="B20" pane="bottomLeft"/>
    </sheetView>
  </sheetViews>
  <sheetFormatPr customHeight="1" defaultColWidth="14.43" defaultRowHeight="15.0"/>
  <cols>
    <col customWidth="1" min="1" max="1" width="78.0"/>
    <col customWidth="1" min="2" max="2" width="11.0"/>
    <col customWidth="1" min="3" max="3" width="34.0"/>
    <col customWidth="1" min="4" max="4" width="11.0"/>
    <col customWidth="1" min="5" max="26" width="8.71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3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2"/>
      <c r="B7" s="2"/>
      <c r="C7" s="2"/>
      <c r="D7" s="2"/>
    </row>
    <row r="8">
      <c r="A8" s="3" t="s">
        <v>6</v>
      </c>
      <c r="B8" s="2"/>
      <c r="C8" s="2"/>
      <c r="D8" s="2"/>
    </row>
    <row r="9">
      <c r="A9" s="2"/>
      <c r="B9" s="2"/>
      <c r="C9" s="2"/>
      <c r="D9" s="2"/>
    </row>
    <row r="10">
      <c r="A10" s="4" t="s">
        <v>7</v>
      </c>
      <c r="B10" s="7">
        <v>46256.0</v>
      </c>
      <c r="C10" s="2"/>
      <c r="D10" s="2"/>
    </row>
    <row r="11">
      <c r="A11" s="4" t="s">
        <v>8</v>
      </c>
      <c r="B11" s="6" t="s">
        <v>11</v>
      </c>
      <c r="C11" s="2"/>
      <c r="D11" s="2"/>
    </row>
    <row r="12">
      <c r="A12" s="4" t="s">
        <v>10</v>
      </c>
      <c r="B12" s="6">
        <v>2.02201204E8</v>
      </c>
      <c r="C12" s="2"/>
      <c r="D12" s="2"/>
    </row>
    <row r="13">
      <c r="A13" s="2"/>
      <c r="B13" s="2"/>
      <c r="C13" s="2"/>
      <c r="D13" s="2"/>
    </row>
    <row r="14" ht="25.5" customHeight="1">
      <c r="A14" s="8" t="s">
        <v>12</v>
      </c>
    </row>
    <row r="15" ht="25.5" customHeight="1">
      <c r="A15" s="8" t="s">
        <v>14</v>
      </c>
    </row>
    <row r="16" ht="25.5" customHeight="1">
      <c r="A16" s="8" t="s">
        <v>15</v>
      </c>
    </row>
    <row r="17">
      <c r="A17" s="2"/>
      <c r="B17" s="2"/>
      <c r="C17" s="2"/>
      <c r="D17" s="2"/>
    </row>
    <row r="18" ht="19.5" customHeight="1">
      <c r="A18" s="9" t="s">
        <v>16</v>
      </c>
      <c r="B18" s="9" t="s">
        <v>17</v>
      </c>
      <c r="C18" s="9" t="s">
        <v>18</v>
      </c>
      <c r="D18" s="9" t="s">
        <v>19</v>
      </c>
    </row>
    <row r="19" ht="19.5" customHeight="1">
      <c r="A19" s="10" t="s">
        <v>20</v>
      </c>
      <c r="B19" s="11">
        <f>B20+B25+B30</f>
        <v>25</v>
      </c>
      <c r="C19" s="10"/>
      <c r="D19" s="12">
        <f>D20+D25+D30</f>
        <v>24</v>
      </c>
    </row>
    <row r="20" ht="18.0" customHeight="1">
      <c r="A20" s="13" t="s">
        <v>21</v>
      </c>
      <c r="B20" s="14">
        <f>SUM(B21:B24)</f>
        <v>10</v>
      </c>
      <c r="C20" s="13"/>
      <c r="D20" s="15">
        <f>SUM(D21:D24)</f>
        <v>10</v>
      </c>
    </row>
    <row r="21" ht="15.0" customHeight="1">
      <c r="A21" s="16" t="s">
        <v>22</v>
      </c>
      <c r="B21" s="17">
        <v>3.0</v>
      </c>
      <c r="C21" s="18"/>
      <c r="D21" s="19">
        <v>3.0</v>
      </c>
    </row>
    <row r="22" ht="15.0" customHeight="1">
      <c r="A22" s="16" t="s">
        <v>23</v>
      </c>
      <c r="B22" s="17">
        <v>3.0</v>
      </c>
      <c r="C22" s="18"/>
      <c r="D22" s="19">
        <v>3.0</v>
      </c>
    </row>
    <row r="23" ht="15.0" customHeight="1">
      <c r="A23" s="16" t="s">
        <v>24</v>
      </c>
      <c r="B23" s="17">
        <v>2.0</v>
      </c>
      <c r="C23" s="18"/>
      <c r="D23" s="19">
        <v>2.0</v>
      </c>
    </row>
    <row r="24" ht="15.0" customHeight="1">
      <c r="A24" s="16" t="s">
        <v>25</v>
      </c>
      <c r="B24" s="17">
        <v>2.0</v>
      </c>
      <c r="C24" s="18"/>
      <c r="D24" s="19">
        <v>2.0</v>
      </c>
    </row>
    <row r="25" ht="18.0" customHeight="1">
      <c r="A25" s="13" t="s">
        <v>26</v>
      </c>
      <c r="B25" s="14">
        <f>SUM(B26:B29)</f>
        <v>10</v>
      </c>
      <c r="C25" s="13"/>
      <c r="D25" s="15">
        <f>SUM(D26:D29)</f>
        <v>10</v>
      </c>
    </row>
    <row r="26" ht="15.0" customHeight="1">
      <c r="A26" s="16" t="s">
        <v>27</v>
      </c>
      <c r="B26" s="17">
        <v>4.0</v>
      </c>
      <c r="C26" s="18"/>
      <c r="D26" s="19">
        <v>4.0</v>
      </c>
    </row>
    <row r="27" ht="15.0" customHeight="1">
      <c r="A27" s="16" t="s">
        <v>28</v>
      </c>
      <c r="B27" s="17">
        <v>2.0</v>
      </c>
      <c r="C27" s="18"/>
      <c r="D27" s="19">
        <v>2.0</v>
      </c>
    </row>
    <row r="28" ht="15.0" customHeight="1">
      <c r="A28" s="16" t="s">
        <v>29</v>
      </c>
      <c r="B28" s="17">
        <v>3.0</v>
      </c>
      <c r="C28" s="18"/>
      <c r="D28" s="19">
        <v>3.0</v>
      </c>
    </row>
    <row r="29" ht="15.0" customHeight="1">
      <c r="A29" s="16" t="s">
        <v>30</v>
      </c>
      <c r="B29" s="17">
        <v>1.0</v>
      </c>
      <c r="C29" s="18"/>
      <c r="D29" s="19">
        <v>1.0</v>
      </c>
    </row>
    <row r="30" ht="18.0" customHeight="1">
      <c r="A30" s="13" t="s">
        <v>31</v>
      </c>
      <c r="B30" s="14">
        <f>SUM(B31:B35)</f>
        <v>5</v>
      </c>
      <c r="C30" s="13"/>
      <c r="D30" s="15">
        <f>SUM(D31:D35)</f>
        <v>4</v>
      </c>
    </row>
    <row r="31" ht="15.0" customHeight="1">
      <c r="A31" s="16" t="s">
        <v>32</v>
      </c>
      <c r="B31" s="17">
        <v>1.0</v>
      </c>
      <c r="C31" s="18"/>
      <c r="D31" s="19">
        <v>1.0</v>
      </c>
    </row>
    <row r="32" ht="15.0" customHeight="1">
      <c r="A32" s="16" t="s">
        <v>33</v>
      </c>
      <c r="B32" s="17">
        <v>1.0</v>
      </c>
      <c r="C32" s="18"/>
      <c r="D32" s="19">
        <v>1.0</v>
      </c>
    </row>
    <row r="33" ht="15.0" customHeight="1">
      <c r="A33" s="16" t="s">
        <v>34</v>
      </c>
      <c r="B33" s="17">
        <v>1.0</v>
      </c>
      <c r="C33" s="18"/>
      <c r="D33" s="19">
        <v>1.0</v>
      </c>
    </row>
    <row r="34" ht="15.0" customHeight="1">
      <c r="A34" s="16" t="s">
        <v>35</v>
      </c>
      <c r="B34" s="17">
        <v>1.0</v>
      </c>
      <c r="C34" s="18"/>
      <c r="D34" s="19">
        <v>1.0</v>
      </c>
    </row>
    <row r="35" ht="15.0" customHeight="1">
      <c r="A35" s="16" t="s">
        <v>36</v>
      </c>
      <c r="B35" s="17">
        <v>1.0</v>
      </c>
      <c r="C35" s="18"/>
      <c r="D35" s="19">
        <v>0.0</v>
      </c>
    </row>
    <row r="36" ht="19.5" customHeight="1">
      <c r="A36" s="10" t="s">
        <v>37</v>
      </c>
      <c r="B36" s="11">
        <f>B37+B43+B55+B61+B67+B72+B78</f>
        <v>55</v>
      </c>
      <c r="C36" s="10"/>
      <c r="D36" s="12">
        <f>D37+D43+D55+D61+D67+D72+D78</f>
        <v>55</v>
      </c>
    </row>
    <row r="37" ht="18.0" customHeight="1">
      <c r="A37" s="13" t="s">
        <v>38</v>
      </c>
      <c r="B37" s="14">
        <f>SUM(B38:B42)</f>
        <v>5</v>
      </c>
      <c r="C37" s="13"/>
      <c r="D37" s="15">
        <f>SUM(D38:D42)</f>
        <v>5</v>
      </c>
    </row>
    <row r="38" ht="15.0" customHeight="1">
      <c r="A38" s="16" t="s">
        <v>39</v>
      </c>
      <c r="B38" s="17">
        <v>1.0</v>
      </c>
      <c r="C38" s="18"/>
      <c r="D38" s="19">
        <v>1.0</v>
      </c>
    </row>
    <row r="39" ht="15.0" customHeight="1">
      <c r="A39" s="16" t="s">
        <v>40</v>
      </c>
      <c r="B39" s="17">
        <v>1.0</v>
      </c>
      <c r="C39" s="18"/>
      <c r="D39" s="19">
        <v>1.0</v>
      </c>
    </row>
    <row r="40" ht="15.0" customHeight="1">
      <c r="A40" s="16" t="s">
        <v>41</v>
      </c>
      <c r="B40" s="17">
        <v>1.0</v>
      </c>
      <c r="C40" s="18"/>
      <c r="D40" s="19">
        <v>1.0</v>
      </c>
    </row>
    <row r="41" ht="15.0" customHeight="1">
      <c r="A41" s="16" t="s">
        <v>42</v>
      </c>
      <c r="B41" s="17">
        <v>1.0</v>
      </c>
      <c r="C41" s="18"/>
      <c r="D41" s="19">
        <v>1.0</v>
      </c>
    </row>
    <row r="42" ht="15.0" customHeight="1">
      <c r="A42" s="16" t="s">
        <v>43</v>
      </c>
      <c r="B42" s="17">
        <v>1.0</v>
      </c>
      <c r="C42" s="18"/>
      <c r="D42" s="19">
        <v>1.0</v>
      </c>
    </row>
    <row r="43" ht="18.0" customHeight="1">
      <c r="A43" s="13" t="s">
        <v>44</v>
      </c>
      <c r="B43" s="14">
        <f>SUM(B44:B54)</f>
        <v>15</v>
      </c>
      <c r="C43" s="13"/>
      <c r="D43" s="15">
        <f>SUM(D44:D54)</f>
        <v>15</v>
      </c>
    </row>
    <row r="44" ht="15.0" customHeight="1">
      <c r="A44" s="16" t="s">
        <v>45</v>
      </c>
      <c r="B44" s="17">
        <v>2.0</v>
      </c>
      <c r="C44" s="18"/>
      <c r="D44" s="19">
        <v>2.0</v>
      </c>
    </row>
    <row r="45" ht="15.0" customHeight="1">
      <c r="A45" s="16" t="s">
        <v>46</v>
      </c>
      <c r="B45" s="17">
        <v>1.0</v>
      </c>
      <c r="C45" s="18"/>
      <c r="D45" s="19">
        <v>1.0</v>
      </c>
    </row>
    <row r="46" ht="15.0" customHeight="1">
      <c r="A46" s="16" t="s">
        <v>47</v>
      </c>
      <c r="B46" s="17">
        <v>1.0</v>
      </c>
      <c r="C46" s="18"/>
      <c r="D46" s="19">
        <v>1.0</v>
      </c>
    </row>
    <row r="47" ht="15.0" customHeight="1">
      <c r="A47" s="16" t="s">
        <v>48</v>
      </c>
      <c r="B47" s="17">
        <v>1.0</v>
      </c>
      <c r="C47" s="18"/>
      <c r="D47" s="19">
        <v>1.0</v>
      </c>
    </row>
    <row r="48" ht="15.0" customHeight="1">
      <c r="A48" s="16" t="s">
        <v>49</v>
      </c>
      <c r="B48" s="17">
        <v>2.0</v>
      </c>
      <c r="C48" s="18"/>
      <c r="D48" s="19">
        <v>2.0</v>
      </c>
    </row>
    <row r="49" ht="15.0" customHeight="1">
      <c r="A49" s="16" t="s">
        <v>50</v>
      </c>
      <c r="B49" s="17">
        <v>2.0</v>
      </c>
      <c r="C49" s="18"/>
      <c r="D49" s="19">
        <v>2.0</v>
      </c>
    </row>
    <row r="50" ht="15.0" customHeight="1">
      <c r="A50" s="16" t="s">
        <v>51</v>
      </c>
      <c r="B50" s="17">
        <v>1.0</v>
      </c>
      <c r="C50" s="18"/>
      <c r="D50" s="19">
        <v>1.0</v>
      </c>
    </row>
    <row r="51" ht="15.0" customHeight="1">
      <c r="A51" s="16" t="s">
        <v>52</v>
      </c>
      <c r="B51" s="17">
        <v>1.0</v>
      </c>
      <c r="C51" s="18"/>
      <c r="D51" s="19">
        <v>1.0</v>
      </c>
    </row>
    <row r="52" ht="15.0" customHeight="1">
      <c r="A52" s="16" t="s">
        <v>53</v>
      </c>
      <c r="B52" s="17">
        <v>2.0</v>
      </c>
      <c r="C52" s="18"/>
      <c r="D52" s="19">
        <v>2.0</v>
      </c>
    </row>
    <row r="53" ht="15.0" customHeight="1">
      <c r="A53" s="16" t="s">
        <v>54</v>
      </c>
      <c r="B53" s="17">
        <v>1.0</v>
      </c>
      <c r="C53" s="18"/>
      <c r="D53" s="19">
        <v>1.0</v>
      </c>
    </row>
    <row r="54" ht="15.0" customHeight="1">
      <c r="A54" s="16" t="s">
        <v>55</v>
      </c>
      <c r="B54" s="17">
        <v>1.0</v>
      </c>
      <c r="C54" s="18"/>
      <c r="D54" s="19">
        <v>1.0</v>
      </c>
    </row>
    <row r="55" ht="18.0" customHeight="1">
      <c r="A55" s="13" t="s">
        <v>56</v>
      </c>
      <c r="B55" s="14">
        <f>SUM(B56:B60)</f>
        <v>8</v>
      </c>
      <c r="C55" s="13"/>
      <c r="D55" s="15">
        <f>SUM(D56:D60)</f>
        <v>8</v>
      </c>
    </row>
    <row r="56" ht="15.0" customHeight="1">
      <c r="A56" s="16" t="s">
        <v>57</v>
      </c>
      <c r="B56" s="17">
        <v>1.0</v>
      </c>
      <c r="C56" s="18"/>
      <c r="D56" s="19">
        <v>1.0</v>
      </c>
    </row>
    <row r="57" ht="15.0" customHeight="1">
      <c r="A57" s="16" t="s">
        <v>58</v>
      </c>
      <c r="B57" s="17">
        <v>2.0</v>
      </c>
      <c r="C57" s="18"/>
      <c r="D57" s="19">
        <v>2.0</v>
      </c>
    </row>
    <row r="58" ht="15.0" customHeight="1">
      <c r="A58" s="16" t="s">
        <v>59</v>
      </c>
      <c r="B58" s="17">
        <v>2.0</v>
      </c>
      <c r="C58" s="18"/>
      <c r="D58" s="19">
        <v>2.0</v>
      </c>
    </row>
    <row r="59" ht="15.0" customHeight="1">
      <c r="A59" s="16" t="s">
        <v>60</v>
      </c>
      <c r="B59" s="17">
        <v>2.0</v>
      </c>
      <c r="C59" s="18"/>
      <c r="D59" s="19">
        <v>2.0</v>
      </c>
    </row>
    <row r="60" ht="15.0" customHeight="1">
      <c r="A60" s="16" t="s">
        <v>61</v>
      </c>
      <c r="B60" s="17">
        <v>1.0</v>
      </c>
      <c r="C60" s="18"/>
      <c r="D60" s="19">
        <v>1.0</v>
      </c>
    </row>
    <row r="61" ht="18.0" customHeight="1">
      <c r="A61" s="13" t="s">
        <v>62</v>
      </c>
      <c r="B61" s="14">
        <f>SUM(B62:B66)</f>
        <v>8</v>
      </c>
      <c r="C61" s="13"/>
      <c r="D61" s="15">
        <f>SUM(D62:D66)</f>
        <v>8</v>
      </c>
    </row>
    <row r="62" ht="15.0" customHeight="1">
      <c r="A62" s="16" t="s">
        <v>63</v>
      </c>
      <c r="B62" s="17">
        <v>2.0</v>
      </c>
      <c r="C62" s="18"/>
      <c r="D62" s="19">
        <v>2.0</v>
      </c>
    </row>
    <row r="63" ht="15.0" customHeight="1">
      <c r="A63" s="16" t="s">
        <v>64</v>
      </c>
      <c r="B63" s="17">
        <v>2.0</v>
      </c>
      <c r="C63" s="18"/>
      <c r="D63" s="19">
        <v>2.0</v>
      </c>
    </row>
    <row r="64" ht="15.0" customHeight="1">
      <c r="A64" s="16" t="s">
        <v>65</v>
      </c>
      <c r="B64" s="17">
        <v>1.0</v>
      </c>
      <c r="C64" s="18"/>
      <c r="D64" s="19">
        <v>1.0</v>
      </c>
    </row>
    <row r="65" ht="15.0" customHeight="1">
      <c r="A65" s="16" t="s">
        <v>66</v>
      </c>
      <c r="B65" s="17">
        <v>2.0</v>
      </c>
      <c r="C65" s="18"/>
      <c r="D65" s="19">
        <v>2.0</v>
      </c>
    </row>
    <row r="66" ht="15.0" customHeight="1">
      <c r="A66" s="16" t="s">
        <v>67</v>
      </c>
      <c r="B66" s="17">
        <v>1.0</v>
      </c>
      <c r="C66" s="18"/>
      <c r="D66" s="19">
        <v>1.0</v>
      </c>
    </row>
    <row r="67" ht="18.0" customHeight="1">
      <c r="A67" s="13" t="s">
        <v>68</v>
      </c>
      <c r="B67" s="14">
        <f>SUM(B68:B71)</f>
        <v>5</v>
      </c>
      <c r="C67" s="13"/>
      <c r="D67" s="15">
        <f>SUM(D68:D71)</f>
        <v>5</v>
      </c>
    </row>
    <row r="68" ht="15.0" customHeight="1">
      <c r="A68" s="16" t="s">
        <v>69</v>
      </c>
      <c r="B68" s="17">
        <v>1.0</v>
      </c>
      <c r="C68" s="18"/>
      <c r="D68" s="19">
        <v>1.0</v>
      </c>
    </row>
    <row r="69" ht="15.0" customHeight="1">
      <c r="A69" s="16" t="s">
        <v>70</v>
      </c>
      <c r="B69" s="17">
        <v>2.0</v>
      </c>
      <c r="C69" s="18"/>
      <c r="D69" s="19">
        <v>2.0</v>
      </c>
    </row>
    <row r="70" ht="15.0" customHeight="1">
      <c r="A70" s="16" t="s">
        <v>71</v>
      </c>
      <c r="B70" s="17">
        <v>1.0</v>
      </c>
      <c r="C70" s="18"/>
      <c r="D70" s="19">
        <v>1.0</v>
      </c>
    </row>
    <row r="71" ht="15.0" customHeight="1">
      <c r="A71" s="16" t="s">
        <v>72</v>
      </c>
      <c r="B71" s="17">
        <v>1.0</v>
      </c>
      <c r="C71" s="18"/>
      <c r="D71" s="19">
        <v>1.0</v>
      </c>
    </row>
    <row r="72" ht="18.0" customHeight="1">
      <c r="A72" s="13" t="s">
        <v>73</v>
      </c>
      <c r="B72" s="14">
        <f>SUM(B73:B77)</f>
        <v>8</v>
      </c>
      <c r="C72" s="13"/>
      <c r="D72" s="15">
        <f>SUM(D73:D77)</f>
        <v>8</v>
      </c>
    </row>
    <row r="73" ht="15.0" customHeight="1">
      <c r="A73" s="16" t="s">
        <v>74</v>
      </c>
      <c r="B73" s="17">
        <v>2.0</v>
      </c>
      <c r="C73" s="18"/>
      <c r="D73" s="19">
        <v>2.0</v>
      </c>
    </row>
    <row r="74" ht="15.0" customHeight="1">
      <c r="A74" s="16" t="s">
        <v>75</v>
      </c>
      <c r="B74" s="17">
        <v>2.0</v>
      </c>
      <c r="C74" s="18"/>
      <c r="D74" s="19">
        <v>2.0</v>
      </c>
    </row>
    <row r="75" ht="15.0" customHeight="1">
      <c r="A75" s="16" t="s">
        <v>76</v>
      </c>
      <c r="B75" s="17">
        <v>1.0</v>
      </c>
      <c r="C75" s="18"/>
      <c r="D75" s="19">
        <v>1.0</v>
      </c>
    </row>
    <row r="76" ht="15.0" customHeight="1">
      <c r="A76" s="16" t="s">
        <v>77</v>
      </c>
      <c r="B76" s="17">
        <v>2.0</v>
      </c>
      <c r="C76" s="18"/>
      <c r="D76" s="19">
        <v>2.0</v>
      </c>
    </row>
    <row r="77" ht="15.0" customHeight="1">
      <c r="A77" s="16" t="s">
        <v>78</v>
      </c>
      <c r="B77" s="17">
        <v>1.0</v>
      </c>
      <c r="C77" s="18"/>
      <c r="D77" s="19">
        <v>1.0</v>
      </c>
    </row>
    <row r="78" ht="18.0" customHeight="1">
      <c r="A78" s="13" t="s">
        <v>79</v>
      </c>
      <c r="B78" s="14">
        <f>SUM(B79:B82)</f>
        <v>6</v>
      </c>
      <c r="C78" s="13"/>
      <c r="D78" s="15">
        <f>SUM(D79:D82)</f>
        <v>6</v>
      </c>
    </row>
    <row r="79" ht="15.0" customHeight="1">
      <c r="A79" s="16" t="s">
        <v>80</v>
      </c>
      <c r="B79" s="17">
        <v>2.0</v>
      </c>
      <c r="C79" s="18"/>
      <c r="D79" s="19">
        <v>2.0</v>
      </c>
    </row>
    <row r="80" ht="15.0" customHeight="1">
      <c r="A80" s="16" t="s">
        <v>81</v>
      </c>
      <c r="B80" s="17">
        <v>1.0</v>
      </c>
      <c r="C80" s="18"/>
      <c r="D80" s="19">
        <v>1.0</v>
      </c>
    </row>
    <row r="81" ht="15.0" customHeight="1">
      <c r="A81" s="16" t="s">
        <v>82</v>
      </c>
      <c r="B81" s="17">
        <v>2.0</v>
      </c>
      <c r="C81" s="18"/>
      <c r="D81" s="19">
        <v>2.0</v>
      </c>
    </row>
    <row r="82" ht="15.0" customHeight="1">
      <c r="A82" s="16" t="s">
        <v>83</v>
      </c>
      <c r="B82" s="17">
        <v>1.0</v>
      </c>
      <c r="C82" s="18"/>
      <c r="D82" s="19">
        <v>1.0</v>
      </c>
    </row>
    <row r="83" ht="19.5" customHeight="1">
      <c r="A83" s="10" t="s">
        <v>84</v>
      </c>
      <c r="B83" s="11">
        <f>B84+B87</f>
        <v>20</v>
      </c>
      <c r="C83" s="10"/>
      <c r="D83" s="12">
        <f>D84+D87</f>
        <v>20</v>
      </c>
    </row>
    <row r="84" ht="18.0" customHeight="1">
      <c r="A84" s="13" t="s">
        <v>85</v>
      </c>
      <c r="B84" s="14">
        <f>SUM(B85:B86)</f>
        <v>5</v>
      </c>
      <c r="C84" s="13"/>
      <c r="D84" s="15">
        <f>SUM(D85:D86)</f>
        <v>5</v>
      </c>
    </row>
    <row r="85" ht="15.0" customHeight="1">
      <c r="A85" s="16" t="s">
        <v>86</v>
      </c>
      <c r="B85" s="17">
        <v>2.5</v>
      </c>
      <c r="C85" s="18"/>
      <c r="D85" s="19">
        <v>2.5</v>
      </c>
    </row>
    <row r="86" ht="15.0" customHeight="1">
      <c r="A86" s="16" t="s">
        <v>87</v>
      </c>
      <c r="B86" s="17">
        <v>2.5</v>
      </c>
      <c r="C86" s="18"/>
      <c r="D86" s="19">
        <v>2.5</v>
      </c>
    </row>
    <row r="87" ht="18.0" customHeight="1">
      <c r="A87" s="13" t="s">
        <v>88</v>
      </c>
      <c r="B87" s="14">
        <f>SUM(B88:B90)</f>
        <v>15</v>
      </c>
      <c r="C87" s="13"/>
      <c r="D87" s="15">
        <f>SUM(D88:D90)</f>
        <v>15</v>
      </c>
    </row>
    <row r="88" ht="15.0" customHeight="1">
      <c r="A88" s="16" t="s">
        <v>89</v>
      </c>
      <c r="B88" s="17">
        <v>5.0</v>
      </c>
      <c r="C88" s="18"/>
      <c r="D88" s="19">
        <v>5.0</v>
      </c>
    </row>
    <row r="89" ht="15.0" customHeight="1">
      <c r="A89" s="16" t="s">
        <v>90</v>
      </c>
      <c r="B89" s="17">
        <v>5.0</v>
      </c>
      <c r="C89" s="18"/>
      <c r="D89" s="19">
        <v>5.0</v>
      </c>
    </row>
    <row r="90" ht="15.0" customHeight="1">
      <c r="A90" s="16" t="s">
        <v>91</v>
      </c>
      <c r="B90" s="17">
        <v>5.0</v>
      </c>
      <c r="C90" s="18"/>
      <c r="D90" s="19">
        <v>5.0</v>
      </c>
    </row>
    <row r="91" ht="19.5" customHeight="1">
      <c r="A91" s="21" t="s">
        <v>92</v>
      </c>
      <c r="B91" s="22">
        <f>B19+B36+B83</f>
        <v>100</v>
      </c>
      <c r="C91" s="23"/>
      <c r="D91" s="24">
        <f>D19+D36+D83</f>
        <v>99</v>
      </c>
    </row>
    <row r="92" ht="15.75" customHeight="1">
      <c r="A92" s="2"/>
      <c r="B92" s="2"/>
      <c r="C92" s="2"/>
      <c r="D92" s="2"/>
    </row>
    <row r="93" ht="15.75" customHeight="1">
      <c r="A93" s="1" t="s">
        <v>93</v>
      </c>
      <c r="B93" s="2"/>
      <c r="C93" s="2"/>
      <c r="D93" s="2"/>
    </row>
    <row r="94" ht="15.75" customHeight="1">
      <c r="A94" s="9" t="s">
        <v>94</v>
      </c>
      <c r="B94" s="9" t="s">
        <v>95</v>
      </c>
      <c r="C94" s="9" t="s">
        <v>18</v>
      </c>
      <c r="D94" s="9"/>
    </row>
    <row r="95" ht="15.75" customHeight="1">
      <c r="A95" s="16" t="s">
        <v>96</v>
      </c>
      <c r="B95" s="25" t="s">
        <v>97</v>
      </c>
      <c r="C95" s="26"/>
      <c r="D95" s="27"/>
    </row>
    <row r="96" ht="15.75" customHeight="1">
      <c r="A96" s="16" t="s">
        <v>98</v>
      </c>
      <c r="B96" s="25" t="s">
        <v>97</v>
      </c>
      <c r="C96" s="26"/>
      <c r="D96" s="27"/>
    </row>
    <row r="97" ht="15.75" customHeight="1">
      <c r="A97" s="16" t="s">
        <v>99</v>
      </c>
      <c r="B97" s="25" t="s">
        <v>97</v>
      </c>
      <c r="C97" s="26"/>
      <c r="D97" s="27"/>
    </row>
    <row r="98" ht="15.75" customHeight="1">
      <c r="A98" s="16" t="s">
        <v>100</v>
      </c>
      <c r="B98" s="25" t="s">
        <v>97</v>
      </c>
      <c r="C98" s="26"/>
      <c r="D98" s="27"/>
    </row>
    <row r="99" ht="15.75" customHeight="1">
      <c r="A99" s="16" t="s">
        <v>101</v>
      </c>
      <c r="B99" s="25" t="s">
        <v>97</v>
      </c>
      <c r="C99" s="26"/>
      <c r="D99" s="27"/>
    </row>
    <row r="100" ht="15.75" customHeight="1">
      <c r="A100" s="16" t="s">
        <v>102</v>
      </c>
      <c r="B100" s="25" t="s">
        <v>97</v>
      </c>
      <c r="C100" s="26"/>
      <c r="D100" s="27"/>
    </row>
    <row r="101" ht="15.75" customHeight="1">
      <c r="A101" s="2"/>
      <c r="B101" s="2"/>
      <c r="C101" s="2"/>
      <c r="D101" s="2"/>
    </row>
    <row r="102" ht="15.75" customHeight="1">
      <c r="A102" s="1" t="s">
        <v>103</v>
      </c>
      <c r="B102" s="2"/>
      <c r="C102" s="2"/>
      <c r="D102" s="2"/>
    </row>
    <row r="103" ht="15.75" customHeight="1">
      <c r="A103" s="9" t="s">
        <v>104</v>
      </c>
      <c r="B103" s="9" t="s">
        <v>105</v>
      </c>
      <c r="C103" s="9" t="s">
        <v>106</v>
      </c>
      <c r="D103" s="9" t="s">
        <v>107</v>
      </c>
    </row>
    <row r="104" ht="15.75" customHeight="1">
      <c r="A104" s="16" t="s">
        <v>108</v>
      </c>
      <c r="B104" s="28">
        <v>-0.3</v>
      </c>
      <c r="C104" s="25" t="s">
        <v>109</v>
      </c>
      <c r="D104" s="29">
        <f t="shared" ref="D104:D118" si="1">IF(C104="Sí",$D$91*B104,0)</f>
        <v>0</v>
      </c>
    </row>
    <row r="105" ht="15.75" customHeight="1">
      <c r="A105" s="16" t="s">
        <v>110</v>
      </c>
      <c r="B105" s="28">
        <v>-0.2</v>
      </c>
      <c r="C105" s="25" t="s">
        <v>109</v>
      </c>
      <c r="D105" s="29">
        <f t="shared" si="1"/>
        <v>0</v>
      </c>
    </row>
    <row r="106" ht="15.75" customHeight="1">
      <c r="A106" s="16" t="s">
        <v>111</v>
      </c>
      <c r="B106" s="28">
        <v>-1.0</v>
      </c>
      <c r="C106" s="25" t="s">
        <v>109</v>
      </c>
      <c r="D106" s="29">
        <f t="shared" si="1"/>
        <v>0</v>
      </c>
    </row>
    <row r="107" ht="15.75" customHeight="1">
      <c r="A107" s="16" t="s">
        <v>112</v>
      </c>
      <c r="B107" s="28">
        <v>-1.0</v>
      </c>
      <c r="C107" s="25" t="s">
        <v>109</v>
      </c>
      <c r="D107" s="29">
        <f t="shared" si="1"/>
        <v>0</v>
      </c>
    </row>
    <row r="108" ht="15.75" customHeight="1">
      <c r="A108" s="16" t="s">
        <v>113</v>
      </c>
      <c r="B108" s="28">
        <v>-0.75</v>
      </c>
      <c r="C108" s="25" t="s">
        <v>109</v>
      </c>
      <c r="D108" s="29">
        <f t="shared" si="1"/>
        <v>0</v>
      </c>
    </row>
    <row r="109" ht="15.75" customHeight="1">
      <c r="A109" s="16" t="s">
        <v>114</v>
      </c>
      <c r="B109" s="28">
        <v>-0.75</v>
      </c>
      <c r="C109" s="25" t="s">
        <v>109</v>
      </c>
      <c r="D109" s="29">
        <f t="shared" si="1"/>
        <v>0</v>
      </c>
    </row>
    <row r="110" ht="15.75" customHeight="1">
      <c r="A110" s="16" t="s">
        <v>115</v>
      </c>
      <c r="B110" s="28">
        <v>-0.9</v>
      </c>
      <c r="C110" s="25" t="s">
        <v>109</v>
      </c>
      <c r="D110" s="29">
        <f t="shared" si="1"/>
        <v>0</v>
      </c>
    </row>
    <row r="111" ht="15.75" customHeight="1">
      <c r="A111" s="16" t="s">
        <v>116</v>
      </c>
      <c r="B111" s="28">
        <v>-0.5</v>
      </c>
      <c r="C111" s="25" t="s">
        <v>109</v>
      </c>
      <c r="D111" s="29">
        <f t="shared" si="1"/>
        <v>0</v>
      </c>
    </row>
    <row r="112" ht="15.75" customHeight="1">
      <c r="A112" s="16" t="s">
        <v>117</v>
      </c>
      <c r="B112" s="28">
        <v>-0.5</v>
      </c>
      <c r="C112" s="25" t="s">
        <v>109</v>
      </c>
      <c r="D112" s="29">
        <f t="shared" si="1"/>
        <v>0</v>
      </c>
    </row>
    <row r="113" ht="15.75" customHeight="1">
      <c r="A113" s="16" t="s">
        <v>118</v>
      </c>
      <c r="B113" s="28">
        <v>-1.0</v>
      </c>
      <c r="C113" s="25" t="s">
        <v>109</v>
      </c>
      <c r="D113" s="29">
        <f t="shared" si="1"/>
        <v>0</v>
      </c>
    </row>
    <row r="114" ht="15.75" customHeight="1">
      <c r="A114" s="16" t="s">
        <v>119</v>
      </c>
      <c r="B114" s="28">
        <v>-0.25</v>
      </c>
      <c r="C114" s="25" t="s">
        <v>109</v>
      </c>
      <c r="D114" s="29">
        <f t="shared" si="1"/>
        <v>0</v>
      </c>
    </row>
    <row r="115" ht="15.75" customHeight="1">
      <c r="A115" s="16" t="s">
        <v>120</v>
      </c>
      <c r="B115" s="28">
        <v>-1.0</v>
      </c>
      <c r="C115" s="25" t="s">
        <v>109</v>
      </c>
      <c r="D115" s="29">
        <f t="shared" si="1"/>
        <v>0</v>
      </c>
    </row>
    <row r="116" ht="15.75" customHeight="1">
      <c r="A116" s="16" t="s">
        <v>121</v>
      </c>
      <c r="B116" s="28">
        <v>-1.0</v>
      </c>
      <c r="C116" s="25" t="s">
        <v>109</v>
      </c>
      <c r="D116" s="29">
        <f t="shared" si="1"/>
        <v>0</v>
      </c>
    </row>
    <row r="117" ht="15.75" customHeight="1">
      <c r="A117" s="16" t="s">
        <v>122</v>
      </c>
      <c r="B117" s="28">
        <v>-0.5</v>
      </c>
      <c r="C117" s="25" t="s">
        <v>109</v>
      </c>
      <c r="D117" s="29">
        <f t="shared" si="1"/>
        <v>0</v>
      </c>
    </row>
    <row r="118" ht="15.75" customHeight="1">
      <c r="A118" s="16" t="s">
        <v>123</v>
      </c>
      <c r="B118" s="28">
        <v>-1.0</v>
      </c>
      <c r="C118" s="25" t="s">
        <v>109</v>
      </c>
      <c r="D118" s="29">
        <f t="shared" si="1"/>
        <v>0</v>
      </c>
    </row>
    <row r="119" ht="15.75" customHeight="1">
      <c r="A119" s="21" t="s">
        <v>124</v>
      </c>
      <c r="B119" s="23"/>
      <c r="C119" s="23"/>
      <c r="D119" s="24">
        <f>SUM(D104:D118)</f>
        <v>0</v>
      </c>
    </row>
    <row r="120" ht="15.75" customHeight="1">
      <c r="A120" s="2"/>
      <c r="B120" s="2"/>
      <c r="C120" s="2"/>
      <c r="D120" s="2"/>
    </row>
    <row r="121" ht="21.75" customHeight="1">
      <c r="A121" s="31" t="s">
        <v>125</v>
      </c>
      <c r="B121" s="32"/>
      <c r="C121" s="32"/>
      <c r="D121" s="33">
        <f>MAX(0,ROUND($D$91+$D$119,2))</f>
        <v>99</v>
      </c>
    </row>
    <row r="122" ht="15.75" customHeight="1">
      <c r="A122" s="2"/>
      <c r="B122" s="2"/>
      <c r="C122" s="2"/>
      <c r="D122" s="2"/>
    </row>
    <row r="123" ht="15.75" customHeight="1">
      <c r="A123" s="4" t="s">
        <v>126</v>
      </c>
      <c r="B123" s="2"/>
      <c r="C123" s="2"/>
      <c r="D123" s="2"/>
    </row>
    <row r="124" ht="18.0" customHeight="1">
      <c r="A124" s="34"/>
      <c r="B124" s="35"/>
      <c r="C124" s="35"/>
      <c r="D124" s="36"/>
    </row>
    <row r="125" ht="18.0" customHeight="1">
      <c r="A125" s="34"/>
      <c r="B125" s="35"/>
      <c r="C125" s="35"/>
      <c r="D125" s="36"/>
    </row>
    <row r="126" ht="18.0" customHeight="1">
      <c r="A126" s="34"/>
      <c r="B126" s="35"/>
      <c r="C126" s="35"/>
      <c r="D126" s="36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37" t="s">
        <v>127</v>
      </c>
      <c r="B129" s="2"/>
      <c r="C129" s="37" t="s">
        <v>127</v>
      </c>
      <c r="D129" s="2"/>
    </row>
    <row r="130" ht="15.75" customHeight="1">
      <c r="A130" s="37" t="s">
        <v>128</v>
      </c>
      <c r="B130" s="2"/>
      <c r="C130" s="37" t="s">
        <v>129</v>
      </c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mergeCells count="6">
    <mergeCell ref="A14:D14"/>
    <mergeCell ref="A15:D15"/>
    <mergeCell ref="A16:D16"/>
    <mergeCell ref="A124:D124"/>
    <mergeCell ref="A125:D125"/>
    <mergeCell ref="A126:D126"/>
  </mergeCells>
  <conditionalFormatting sqref="D19:D90">
    <cfRule type="cellIs" dxfId="0" priority="1" operator="greaterThan">
      <formula>B19</formula>
    </cfRule>
  </conditionalFormatting>
  <dataValidations>
    <dataValidation type="list" allowBlank="1" sqref="B95:B100 C104:C118">
      <formula1>"Sí,No"</formula1>
    </dataValidation>
  </dataValidations>
  <printOptions horizontalCentered="1"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8.0" topLeftCell="A19" activePane="bottomLeft" state="frozen"/>
      <selection activeCell="B20" sqref="B20" pane="bottomLeft"/>
    </sheetView>
  </sheetViews>
  <sheetFormatPr customHeight="1" defaultColWidth="14.43" defaultRowHeight="15.0"/>
  <cols>
    <col customWidth="1" min="1" max="1" width="78.0"/>
    <col customWidth="1" min="2" max="2" width="11.0"/>
    <col customWidth="1" min="3" max="3" width="34.0"/>
    <col customWidth="1" min="4" max="4" width="11.0"/>
    <col customWidth="1" min="5" max="26" width="8.71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3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2"/>
      <c r="B7" s="2"/>
      <c r="C7" s="2"/>
      <c r="D7" s="2"/>
    </row>
    <row r="8">
      <c r="A8" s="3" t="s">
        <v>6</v>
      </c>
      <c r="B8" s="2"/>
      <c r="C8" s="2"/>
      <c r="D8" s="2"/>
    </row>
    <row r="9">
      <c r="A9" s="2"/>
      <c r="B9" s="2"/>
      <c r="C9" s="2"/>
      <c r="D9" s="2"/>
    </row>
    <row r="10">
      <c r="A10" s="4" t="s">
        <v>7</v>
      </c>
      <c r="B10" s="5"/>
      <c r="C10" s="2"/>
      <c r="D10" s="2"/>
    </row>
    <row r="11">
      <c r="A11" s="4" t="s">
        <v>8</v>
      </c>
      <c r="B11" s="6" t="s">
        <v>9</v>
      </c>
      <c r="C11" s="2"/>
      <c r="D11" s="2"/>
    </row>
    <row r="12">
      <c r="A12" s="4" t="s">
        <v>10</v>
      </c>
      <c r="B12" s="6">
        <v>2.02507586E8</v>
      </c>
      <c r="C12" s="2"/>
      <c r="D12" s="2"/>
    </row>
    <row r="13">
      <c r="A13" s="2"/>
      <c r="B13" s="2"/>
      <c r="C13" s="2"/>
      <c r="D13" s="2"/>
    </row>
    <row r="14" ht="25.5" customHeight="1">
      <c r="A14" s="8" t="s">
        <v>12</v>
      </c>
    </row>
    <row r="15" ht="25.5" customHeight="1">
      <c r="A15" s="8" t="s">
        <v>14</v>
      </c>
    </row>
    <row r="16" ht="25.5" customHeight="1">
      <c r="A16" s="8" t="s">
        <v>15</v>
      </c>
    </row>
    <row r="17">
      <c r="A17" s="2"/>
      <c r="B17" s="2"/>
      <c r="C17" s="2"/>
      <c r="D17" s="2"/>
    </row>
    <row r="18" ht="19.5" customHeight="1">
      <c r="A18" s="9" t="s">
        <v>16</v>
      </c>
      <c r="B18" s="9" t="s">
        <v>17</v>
      </c>
      <c r="C18" s="9" t="s">
        <v>18</v>
      </c>
      <c r="D18" s="9" t="s">
        <v>19</v>
      </c>
    </row>
    <row r="19" ht="19.5" customHeight="1">
      <c r="A19" s="10" t="s">
        <v>20</v>
      </c>
      <c r="B19" s="11">
        <f>B20+B25+B30</f>
        <v>25</v>
      </c>
      <c r="C19" s="10"/>
      <c r="D19" s="12">
        <f>D20+D25+D30</f>
        <v>23</v>
      </c>
    </row>
    <row r="20" ht="18.0" customHeight="1">
      <c r="A20" s="13" t="s">
        <v>21</v>
      </c>
      <c r="B20" s="14">
        <f>SUM(B21:B24)</f>
        <v>10</v>
      </c>
      <c r="C20" s="13"/>
      <c r="D20" s="15">
        <f>SUM(D21:D24)</f>
        <v>10</v>
      </c>
    </row>
    <row r="21" ht="15.0" customHeight="1">
      <c r="A21" s="16" t="s">
        <v>22</v>
      </c>
      <c r="B21" s="17">
        <v>3.0</v>
      </c>
      <c r="C21" s="18"/>
      <c r="D21" s="19">
        <v>3.0</v>
      </c>
    </row>
    <row r="22" ht="15.0" customHeight="1">
      <c r="A22" s="16" t="s">
        <v>23</v>
      </c>
      <c r="B22" s="17">
        <v>3.0</v>
      </c>
      <c r="C22" s="18"/>
      <c r="D22" s="19">
        <v>3.0</v>
      </c>
    </row>
    <row r="23" ht="15.0" customHeight="1">
      <c r="A23" s="16" t="s">
        <v>24</v>
      </c>
      <c r="B23" s="17">
        <v>2.0</v>
      </c>
      <c r="C23" s="18"/>
      <c r="D23" s="19">
        <v>2.0</v>
      </c>
    </row>
    <row r="24" ht="15.0" customHeight="1">
      <c r="A24" s="16" t="s">
        <v>25</v>
      </c>
      <c r="B24" s="17">
        <v>2.0</v>
      </c>
      <c r="C24" s="18"/>
      <c r="D24" s="19">
        <v>2.0</v>
      </c>
    </row>
    <row r="25" ht="18.0" customHeight="1">
      <c r="A25" s="13" t="s">
        <v>26</v>
      </c>
      <c r="B25" s="14">
        <f>SUM(B26:B29)</f>
        <v>10</v>
      </c>
      <c r="C25" s="13"/>
      <c r="D25" s="15">
        <f>SUM(D26:D29)</f>
        <v>10</v>
      </c>
    </row>
    <row r="26" ht="15.0" customHeight="1">
      <c r="A26" s="16" t="s">
        <v>27</v>
      </c>
      <c r="B26" s="17">
        <v>4.0</v>
      </c>
      <c r="C26" s="18"/>
      <c r="D26" s="19">
        <v>4.0</v>
      </c>
    </row>
    <row r="27" ht="15.0" customHeight="1">
      <c r="A27" s="16" t="s">
        <v>28</v>
      </c>
      <c r="B27" s="17">
        <v>2.0</v>
      </c>
      <c r="C27" s="18"/>
      <c r="D27" s="19">
        <v>2.0</v>
      </c>
    </row>
    <row r="28" ht="15.0" customHeight="1">
      <c r="A28" s="16" t="s">
        <v>29</v>
      </c>
      <c r="B28" s="17">
        <v>3.0</v>
      </c>
      <c r="C28" s="18"/>
      <c r="D28" s="19">
        <v>3.0</v>
      </c>
    </row>
    <row r="29" ht="15.0" customHeight="1">
      <c r="A29" s="16" t="s">
        <v>30</v>
      </c>
      <c r="B29" s="17">
        <v>1.0</v>
      </c>
      <c r="C29" s="18"/>
      <c r="D29" s="19">
        <v>1.0</v>
      </c>
    </row>
    <row r="30" ht="18.0" customHeight="1">
      <c r="A30" s="13" t="s">
        <v>31</v>
      </c>
      <c r="B30" s="14">
        <f>SUM(B31:B35)</f>
        <v>5</v>
      </c>
      <c r="C30" s="13"/>
      <c r="D30" s="15">
        <f>SUM(D31:D35)</f>
        <v>3</v>
      </c>
    </row>
    <row r="31" ht="15.0" customHeight="1">
      <c r="A31" s="16" t="s">
        <v>32</v>
      </c>
      <c r="B31" s="17">
        <v>1.0</v>
      </c>
      <c r="C31" s="18"/>
      <c r="D31" s="19">
        <v>1.0</v>
      </c>
    </row>
    <row r="32" ht="15.0" customHeight="1">
      <c r="A32" s="16" t="s">
        <v>33</v>
      </c>
      <c r="B32" s="17">
        <v>1.0</v>
      </c>
      <c r="C32" s="18"/>
      <c r="D32" s="19">
        <v>0.0</v>
      </c>
    </row>
    <row r="33" ht="15.0" customHeight="1">
      <c r="A33" s="16" t="s">
        <v>34</v>
      </c>
      <c r="B33" s="17">
        <v>1.0</v>
      </c>
      <c r="C33" s="18"/>
      <c r="D33" s="19">
        <v>1.0</v>
      </c>
    </row>
    <row r="34" ht="15.0" customHeight="1">
      <c r="A34" s="16" t="s">
        <v>35</v>
      </c>
      <c r="B34" s="17">
        <v>1.0</v>
      </c>
      <c r="C34" s="18"/>
      <c r="D34" s="19">
        <v>1.0</v>
      </c>
    </row>
    <row r="35" ht="15.0" customHeight="1">
      <c r="A35" s="16" t="s">
        <v>36</v>
      </c>
      <c r="B35" s="17">
        <v>1.0</v>
      </c>
      <c r="C35" s="18"/>
      <c r="D35" s="19">
        <v>0.0</v>
      </c>
    </row>
    <row r="36" ht="19.5" customHeight="1">
      <c r="A36" s="10" t="s">
        <v>37</v>
      </c>
      <c r="B36" s="11">
        <f>B37+B43+B55+B61+B67+B72+B78</f>
        <v>55</v>
      </c>
      <c r="C36" s="10"/>
      <c r="D36" s="12">
        <f>D37+D43+D55+D61+D67+D72+D78</f>
        <v>55</v>
      </c>
    </row>
    <row r="37" ht="18.0" customHeight="1">
      <c r="A37" s="13" t="s">
        <v>38</v>
      </c>
      <c r="B37" s="14">
        <f>SUM(B38:B42)</f>
        <v>5</v>
      </c>
      <c r="C37" s="13"/>
      <c r="D37" s="15">
        <f>SUM(D38:D42)</f>
        <v>5</v>
      </c>
    </row>
    <row r="38" ht="15.0" customHeight="1">
      <c r="A38" s="16" t="s">
        <v>39</v>
      </c>
      <c r="B38" s="17">
        <v>1.0</v>
      </c>
      <c r="C38" s="18"/>
      <c r="D38" s="19">
        <v>1.0</v>
      </c>
    </row>
    <row r="39" ht="15.0" customHeight="1">
      <c r="A39" s="16" t="s">
        <v>40</v>
      </c>
      <c r="B39" s="17">
        <v>1.0</v>
      </c>
      <c r="C39" s="18"/>
      <c r="D39" s="19">
        <v>1.0</v>
      </c>
    </row>
    <row r="40" ht="15.0" customHeight="1">
      <c r="A40" s="16" t="s">
        <v>41</v>
      </c>
      <c r="B40" s="17">
        <v>1.0</v>
      </c>
      <c r="C40" s="18"/>
      <c r="D40" s="19">
        <v>1.0</v>
      </c>
    </row>
    <row r="41" ht="15.0" customHeight="1">
      <c r="A41" s="16" t="s">
        <v>42</v>
      </c>
      <c r="B41" s="17">
        <v>1.0</v>
      </c>
      <c r="C41" s="18"/>
      <c r="D41" s="19">
        <v>1.0</v>
      </c>
    </row>
    <row r="42" ht="15.0" customHeight="1">
      <c r="A42" s="16" t="s">
        <v>43</v>
      </c>
      <c r="B42" s="17">
        <v>1.0</v>
      </c>
      <c r="C42" s="18"/>
      <c r="D42" s="19">
        <v>1.0</v>
      </c>
    </row>
    <row r="43" ht="18.0" customHeight="1">
      <c r="A43" s="13" t="s">
        <v>44</v>
      </c>
      <c r="B43" s="14">
        <f>SUM(B44:B54)</f>
        <v>15</v>
      </c>
      <c r="C43" s="13"/>
      <c r="D43" s="15">
        <f>SUM(D44:D54)</f>
        <v>15</v>
      </c>
    </row>
    <row r="44" ht="15.0" customHeight="1">
      <c r="A44" s="16" t="s">
        <v>45</v>
      </c>
      <c r="B44" s="17">
        <v>2.0</v>
      </c>
      <c r="C44" s="18"/>
      <c r="D44" s="19">
        <v>2.0</v>
      </c>
    </row>
    <row r="45" ht="15.0" customHeight="1">
      <c r="A45" s="16" t="s">
        <v>46</v>
      </c>
      <c r="B45" s="17">
        <v>1.0</v>
      </c>
      <c r="C45" s="18"/>
      <c r="D45" s="19">
        <v>1.0</v>
      </c>
    </row>
    <row r="46" ht="15.0" customHeight="1">
      <c r="A46" s="16" t="s">
        <v>47</v>
      </c>
      <c r="B46" s="17">
        <v>1.0</v>
      </c>
      <c r="C46" s="18"/>
      <c r="D46" s="19">
        <v>1.0</v>
      </c>
    </row>
    <row r="47" ht="15.0" customHeight="1">
      <c r="A47" s="16" t="s">
        <v>48</v>
      </c>
      <c r="B47" s="17">
        <v>1.0</v>
      </c>
      <c r="C47" s="18"/>
      <c r="D47" s="19">
        <v>1.0</v>
      </c>
    </row>
    <row r="48" ht="15.0" customHeight="1">
      <c r="A48" s="16" t="s">
        <v>49</v>
      </c>
      <c r="B48" s="17">
        <v>2.0</v>
      </c>
      <c r="C48" s="18"/>
      <c r="D48" s="19">
        <v>2.0</v>
      </c>
    </row>
    <row r="49" ht="15.0" customHeight="1">
      <c r="A49" s="16" t="s">
        <v>50</v>
      </c>
      <c r="B49" s="17">
        <v>2.0</v>
      </c>
      <c r="C49" s="18"/>
      <c r="D49" s="19">
        <v>2.0</v>
      </c>
    </row>
    <row r="50" ht="15.0" customHeight="1">
      <c r="A50" s="16" t="s">
        <v>51</v>
      </c>
      <c r="B50" s="17">
        <v>1.0</v>
      </c>
      <c r="C50" s="18"/>
      <c r="D50" s="19">
        <v>1.0</v>
      </c>
    </row>
    <row r="51" ht="15.0" customHeight="1">
      <c r="A51" s="16" t="s">
        <v>52</v>
      </c>
      <c r="B51" s="17">
        <v>1.0</v>
      </c>
      <c r="C51" s="18"/>
      <c r="D51" s="19">
        <v>1.0</v>
      </c>
    </row>
    <row r="52" ht="15.0" customHeight="1">
      <c r="A52" s="16" t="s">
        <v>53</v>
      </c>
      <c r="B52" s="17">
        <v>2.0</v>
      </c>
      <c r="C52" s="18"/>
      <c r="D52" s="19">
        <v>2.0</v>
      </c>
    </row>
    <row r="53" ht="15.0" customHeight="1">
      <c r="A53" s="16" t="s">
        <v>54</v>
      </c>
      <c r="B53" s="17">
        <v>1.0</v>
      </c>
      <c r="C53" s="18"/>
      <c r="D53" s="19">
        <v>1.0</v>
      </c>
    </row>
    <row r="54" ht="15.0" customHeight="1">
      <c r="A54" s="16" t="s">
        <v>55</v>
      </c>
      <c r="B54" s="17">
        <v>1.0</v>
      </c>
      <c r="C54" s="18"/>
      <c r="D54" s="19">
        <v>1.0</v>
      </c>
    </row>
    <row r="55" ht="18.0" customHeight="1">
      <c r="A55" s="13" t="s">
        <v>56</v>
      </c>
      <c r="B55" s="14">
        <f>SUM(B56:B60)</f>
        <v>8</v>
      </c>
      <c r="C55" s="13"/>
      <c r="D55" s="15">
        <f>SUM(D56:D60)</f>
        <v>8</v>
      </c>
    </row>
    <row r="56" ht="15.0" customHeight="1">
      <c r="A56" s="16" t="s">
        <v>57</v>
      </c>
      <c r="B56" s="17">
        <v>1.0</v>
      </c>
      <c r="C56" s="18"/>
      <c r="D56" s="19">
        <v>1.0</v>
      </c>
    </row>
    <row r="57" ht="15.0" customHeight="1">
      <c r="A57" s="16" t="s">
        <v>58</v>
      </c>
      <c r="B57" s="17">
        <v>2.0</v>
      </c>
      <c r="C57" s="18"/>
      <c r="D57" s="19">
        <v>2.0</v>
      </c>
    </row>
    <row r="58" ht="15.0" customHeight="1">
      <c r="A58" s="16" t="s">
        <v>59</v>
      </c>
      <c r="B58" s="17">
        <v>2.0</v>
      </c>
      <c r="C58" s="18"/>
      <c r="D58" s="19">
        <v>2.0</v>
      </c>
    </row>
    <row r="59" ht="15.0" customHeight="1">
      <c r="A59" s="16" t="s">
        <v>60</v>
      </c>
      <c r="B59" s="17">
        <v>2.0</v>
      </c>
      <c r="C59" s="18"/>
      <c r="D59" s="19">
        <v>2.0</v>
      </c>
    </row>
    <row r="60" ht="15.0" customHeight="1">
      <c r="A60" s="16" t="s">
        <v>61</v>
      </c>
      <c r="B60" s="17">
        <v>1.0</v>
      </c>
      <c r="C60" s="18"/>
      <c r="D60" s="19">
        <v>1.0</v>
      </c>
    </row>
    <row r="61" ht="18.0" customHeight="1">
      <c r="A61" s="13" t="s">
        <v>62</v>
      </c>
      <c r="B61" s="14">
        <f>SUM(B62:B66)</f>
        <v>8</v>
      </c>
      <c r="C61" s="13"/>
      <c r="D61" s="15">
        <f>SUM(D62:D66)</f>
        <v>8</v>
      </c>
    </row>
    <row r="62" ht="15.0" customHeight="1">
      <c r="A62" s="16" t="s">
        <v>63</v>
      </c>
      <c r="B62" s="17">
        <v>2.0</v>
      </c>
      <c r="C62" s="18"/>
      <c r="D62" s="19">
        <v>2.0</v>
      </c>
    </row>
    <row r="63" ht="15.0" customHeight="1">
      <c r="A63" s="16" t="s">
        <v>64</v>
      </c>
      <c r="B63" s="17">
        <v>2.0</v>
      </c>
      <c r="C63" s="18"/>
      <c r="D63" s="19">
        <v>2.0</v>
      </c>
    </row>
    <row r="64" ht="15.0" customHeight="1">
      <c r="A64" s="16" t="s">
        <v>65</v>
      </c>
      <c r="B64" s="17">
        <v>1.0</v>
      </c>
      <c r="C64" s="18"/>
      <c r="D64" s="19">
        <v>1.0</v>
      </c>
    </row>
    <row r="65" ht="15.0" customHeight="1">
      <c r="A65" s="16" t="s">
        <v>66</v>
      </c>
      <c r="B65" s="17">
        <v>2.0</v>
      </c>
      <c r="C65" s="18"/>
      <c r="D65" s="19">
        <v>2.0</v>
      </c>
    </row>
    <row r="66" ht="15.0" customHeight="1">
      <c r="A66" s="16" t="s">
        <v>67</v>
      </c>
      <c r="B66" s="17">
        <v>1.0</v>
      </c>
      <c r="C66" s="18"/>
      <c r="D66" s="19">
        <v>1.0</v>
      </c>
    </row>
    <row r="67" ht="18.0" customHeight="1">
      <c r="A67" s="13" t="s">
        <v>68</v>
      </c>
      <c r="B67" s="14">
        <f>SUM(B68:B71)</f>
        <v>5</v>
      </c>
      <c r="C67" s="13"/>
      <c r="D67" s="15">
        <f>SUM(D68:D71)</f>
        <v>5</v>
      </c>
    </row>
    <row r="68" ht="15.0" customHeight="1">
      <c r="A68" s="16" t="s">
        <v>69</v>
      </c>
      <c r="B68" s="17">
        <v>1.0</v>
      </c>
      <c r="C68" s="18"/>
      <c r="D68" s="19">
        <v>1.0</v>
      </c>
    </row>
    <row r="69" ht="15.0" customHeight="1">
      <c r="A69" s="16" t="s">
        <v>70</v>
      </c>
      <c r="B69" s="17">
        <v>2.0</v>
      </c>
      <c r="C69" s="18"/>
      <c r="D69" s="19">
        <v>2.0</v>
      </c>
    </row>
    <row r="70" ht="15.0" customHeight="1">
      <c r="A70" s="16" t="s">
        <v>71</v>
      </c>
      <c r="B70" s="17">
        <v>1.0</v>
      </c>
      <c r="C70" s="18"/>
      <c r="D70" s="19">
        <v>1.0</v>
      </c>
    </row>
    <row r="71" ht="15.0" customHeight="1">
      <c r="A71" s="16" t="s">
        <v>72</v>
      </c>
      <c r="B71" s="17">
        <v>1.0</v>
      </c>
      <c r="C71" s="18"/>
      <c r="D71" s="19">
        <v>1.0</v>
      </c>
    </row>
    <row r="72" ht="18.0" customHeight="1">
      <c r="A72" s="13" t="s">
        <v>73</v>
      </c>
      <c r="B72" s="14">
        <f>SUM(B73:B77)</f>
        <v>8</v>
      </c>
      <c r="C72" s="13"/>
      <c r="D72" s="15">
        <f>SUM(D73:D77)</f>
        <v>8</v>
      </c>
    </row>
    <row r="73" ht="15.0" customHeight="1">
      <c r="A73" s="16" t="s">
        <v>74</v>
      </c>
      <c r="B73" s="17">
        <v>2.0</v>
      </c>
      <c r="C73" s="18"/>
      <c r="D73" s="19">
        <v>2.0</v>
      </c>
    </row>
    <row r="74" ht="15.0" customHeight="1">
      <c r="A74" s="16" t="s">
        <v>75</v>
      </c>
      <c r="B74" s="17">
        <v>2.0</v>
      </c>
      <c r="C74" s="18"/>
      <c r="D74" s="19">
        <v>2.0</v>
      </c>
    </row>
    <row r="75" ht="15.0" customHeight="1">
      <c r="A75" s="16" t="s">
        <v>76</v>
      </c>
      <c r="B75" s="17">
        <v>1.0</v>
      </c>
      <c r="C75" s="18"/>
      <c r="D75" s="19">
        <v>1.0</v>
      </c>
    </row>
    <row r="76" ht="15.0" customHeight="1">
      <c r="A76" s="16" t="s">
        <v>77</v>
      </c>
      <c r="B76" s="17">
        <v>2.0</v>
      </c>
      <c r="C76" s="18"/>
      <c r="D76" s="19">
        <v>2.0</v>
      </c>
    </row>
    <row r="77" ht="15.0" customHeight="1">
      <c r="A77" s="16" t="s">
        <v>78</v>
      </c>
      <c r="B77" s="17">
        <v>1.0</v>
      </c>
      <c r="C77" s="18"/>
      <c r="D77" s="19">
        <v>1.0</v>
      </c>
    </row>
    <row r="78" ht="18.0" customHeight="1">
      <c r="A78" s="13" t="s">
        <v>79</v>
      </c>
      <c r="B78" s="14">
        <f>SUM(B79:B82)</f>
        <v>6</v>
      </c>
      <c r="C78" s="13"/>
      <c r="D78" s="15">
        <f>SUM(D79:D82)</f>
        <v>6</v>
      </c>
    </row>
    <row r="79" ht="15.0" customHeight="1">
      <c r="A79" s="16" t="s">
        <v>80</v>
      </c>
      <c r="B79" s="17">
        <v>2.0</v>
      </c>
      <c r="C79" s="18"/>
      <c r="D79" s="19">
        <v>2.0</v>
      </c>
    </row>
    <row r="80" ht="15.0" customHeight="1">
      <c r="A80" s="16" t="s">
        <v>81</v>
      </c>
      <c r="B80" s="17">
        <v>1.0</v>
      </c>
      <c r="C80" s="18"/>
      <c r="D80" s="19">
        <v>1.0</v>
      </c>
    </row>
    <row r="81" ht="15.0" customHeight="1">
      <c r="A81" s="16" t="s">
        <v>82</v>
      </c>
      <c r="B81" s="17">
        <v>2.0</v>
      </c>
      <c r="C81" s="18"/>
      <c r="D81" s="19">
        <v>2.0</v>
      </c>
    </row>
    <row r="82" ht="15.0" customHeight="1">
      <c r="A82" s="16" t="s">
        <v>83</v>
      </c>
      <c r="B82" s="17">
        <v>1.0</v>
      </c>
      <c r="C82" s="18"/>
      <c r="D82" s="19">
        <v>1.0</v>
      </c>
    </row>
    <row r="83" ht="19.5" customHeight="1">
      <c r="A83" s="10" t="s">
        <v>84</v>
      </c>
      <c r="B83" s="11">
        <f>B84+B87</f>
        <v>20</v>
      </c>
      <c r="C83" s="10"/>
      <c r="D83" s="12">
        <f>D84+D87</f>
        <v>20</v>
      </c>
    </row>
    <row r="84" ht="18.0" customHeight="1">
      <c r="A84" s="13" t="s">
        <v>85</v>
      </c>
      <c r="B84" s="14">
        <f>SUM(B85:B86)</f>
        <v>5</v>
      </c>
      <c r="C84" s="13"/>
      <c r="D84" s="15">
        <f>SUM(D85:D86)</f>
        <v>5</v>
      </c>
    </row>
    <row r="85" ht="15.0" customHeight="1">
      <c r="A85" s="16" t="s">
        <v>86</v>
      </c>
      <c r="B85" s="17">
        <v>2.5</v>
      </c>
      <c r="C85" s="18"/>
      <c r="D85" s="19">
        <v>2.5</v>
      </c>
    </row>
    <row r="86" ht="15.0" customHeight="1">
      <c r="A86" s="16" t="s">
        <v>87</v>
      </c>
      <c r="B86" s="17">
        <v>2.5</v>
      </c>
      <c r="C86" s="18"/>
      <c r="D86" s="19">
        <v>2.5</v>
      </c>
    </row>
    <row r="87" ht="18.0" customHeight="1">
      <c r="A87" s="13" t="s">
        <v>88</v>
      </c>
      <c r="B87" s="14">
        <f>SUM(B88:B90)</f>
        <v>15</v>
      </c>
      <c r="C87" s="13"/>
      <c r="D87" s="15">
        <f>SUM(D88:D90)</f>
        <v>15</v>
      </c>
    </row>
    <row r="88" ht="15.0" customHeight="1">
      <c r="A88" s="16" t="s">
        <v>89</v>
      </c>
      <c r="B88" s="17">
        <v>5.0</v>
      </c>
      <c r="C88" s="18"/>
      <c r="D88" s="19">
        <v>5.0</v>
      </c>
    </row>
    <row r="89" ht="15.0" customHeight="1">
      <c r="A89" s="16" t="s">
        <v>90</v>
      </c>
      <c r="B89" s="17">
        <v>5.0</v>
      </c>
      <c r="C89" s="18"/>
      <c r="D89" s="19">
        <v>5.0</v>
      </c>
    </row>
    <row r="90" ht="15.0" customHeight="1">
      <c r="A90" s="16" t="s">
        <v>91</v>
      </c>
      <c r="B90" s="17">
        <v>5.0</v>
      </c>
      <c r="C90" s="18"/>
      <c r="D90" s="19">
        <v>5.0</v>
      </c>
    </row>
    <row r="91" ht="19.5" customHeight="1">
      <c r="A91" s="21" t="s">
        <v>92</v>
      </c>
      <c r="B91" s="22">
        <f>B19+B36+B83</f>
        <v>100</v>
      </c>
      <c r="C91" s="23"/>
      <c r="D91" s="24">
        <f>D19+D36+D83</f>
        <v>98</v>
      </c>
    </row>
    <row r="92" ht="15.75" customHeight="1">
      <c r="A92" s="2"/>
      <c r="B92" s="2"/>
      <c r="C92" s="2"/>
      <c r="D92" s="2"/>
    </row>
    <row r="93" ht="15.75" customHeight="1">
      <c r="A93" s="1" t="s">
        <v>93</v>
      </c>
      <c r="B93" s="2"/>
      <c r="C93" s="2"/>
      <c r="D93" s="2"/>
    </row>
    <row r="94" ht="15.75" customHeight="1">
      <c r="A94" s="9" t="s">
        <v>94</v>
      </c>
      <c r="B94" s="9" t="s">
        <v>95</v>
      </c>
      <c r="C94" s="9" t="s">
        <v>18</v>
      </c>
      <c r="D94" s="9"/>
    </row>
    <row r="95" ht="15.75" customHeight="1">
      <c r="A95" s="16" t="s">
        <v>96</v>
      </c>
      <c r="B95" s="25" t="s">
        <v>97</v>
      </c>
      <c r="C95" s="26"/>
      <c r="D95" s="27"/>
    </row>
    <row r="96" ht="15.75" customHeight="1">
      <c r="A96" s="16" t="s">
        <v>98</v>
      </c>
      <c r="B96" s="25" t="s">
        <v>97</v>
      </c>
      <c r="C96" s="26"/>
      <c r="D96" s="27"/>
    </row>
    <row r="97" ht="15.75" customHeight="1">
      <c r="A97" s="16" t="s">
        <v>99</v>
      </c>
      <c r="B97" s="25" t="s">
        <v>97</v>
      </c>
      <c r="C97" s="26"/>
      <c r="D97" s="27"/>
    </row>
    <row r="98" ht="15.75" customHeight="1">
      <c r="A98" s="16" t="s">
        <v>100</v>
      </c>
      <c r="B98" s="25" t="s">
        <v>97</v>
      </c>
      <c r="C98" s="26"/>
      <c r="D98" s="27"/>
    </row>
    <row r="99" ht="15.75" customHeight="1">
      <c r="A99" s="16" t="s">
        <v>101</v>
      </c>
      <c r="B99" s="25" t="s">
        <v>97</v>
      </c>
      <c r="C99" s="26"/>
      <c r="D99" s="27"/>
    </row>
    <row r="100" ht="15.75" customHeight="1">
      <c r="A100" s="16" t="s">
        <v>102</v>
      </c>
      <c r="B100" s="25" t="s">
        <v>97</v>
      </c>
      <c r="C100" s="26"/>
      <c r="D100" s="27"/>
    </row>
    <row r="101" ht="15.75" customHeight="1">
      <c r="A101" s="2"/>
      <c r="B101" s="2"/>
      <c r="C101" s="2"/>
      <c r="D101" s="2"/>
    </row>
    <row r="102" ht="15.75" customHeight="1">
      <c r="A102" s="1" t="s">
        <v>103</v>
      </c>
      <c r="B102" s="2"/>
      <c r="C102" s="2"/>
      <c r="D102" s="2"/>
    </row>
    <row r="103" ht="15.75" customHeight="1">
      <c r="A103" s="9" t="s">
        <v>104</v>
      </c>
      <c r="B103" s="9" t="s">
        <v>105</v>
      </c>
      <c r="C103" s="9" t="s">
        <v>106</v>
      </c>
      <c r="D103" s="9" t="s">
        <v>107</v>
      </c>
    </row>
    <row r="104" ht="15.75" customHeight="1">
      <c r="A104" s="16" t="s">
        <v>108</v>
      </c>
      <c r="B104" s="28">
        <v>-0.3</v>
      </c>
      <c r="C104" s="25" t="s">
        <v>109</v>
      </c>
      <c r="D104" s="29">
        <f t="shared" ref="D104:D118" si="1">IF(C104="Sí",$D$91*B104,0)</f>
        <v>0</v>
      </c>
    </row>
    <row r="105" ht="15.75" customHeight="1">
      <c r="A105" s="16" t="s">
        <v>110</v>
      </c>
      <c r="B105" s="28">
        <v>-0.2</v>
      </c>
      <c r="C105" s="25" t="s">
        <v>109</v>
      </c>
      <c r="D105" s="29">
        <f t="shared" si="1"/>
        <v>0</v>
      </c>
    </row>
    <row r="106" ht="15.75" customHeight="1">
      <c r="A106" s="16" t="s">
        <v>111</v>
      </c>
      <c r="B106" s="28">
        <v>-1.0</v>
      </c>
      <c r="C106" s="25" t="s">
        <v>109</v>
      </c>
      <c r="D106" s="29">
        <f t="shared" si="1"/>
        <v>0</v>
      </c>
    </row>
    <row r="107" ht="15.75" customHeight="1">
      <c r="A107" s="16" t="s">
        <v>112</v>
      </c>
      <c r="B107" s="28">
        <v>-1.0</v>
      </c>
      <c r="C107" s="25" t="s">
        <v>109</v>
      </c>
      <c r="D107" s="29">
        <f t="shared" si="1"/>
        <v>0</v>
      </c>
    </row>
    <row r="108" ht="15.75" customHeight="1">
      <c r="A108" s="16" t="s">
        <v>113</v>
      </c>
      <c r="B108" s="28">
        <v>-0.75</v>
      </c>
      <c r="C108" s="25" t="s">
        <v>109</v>
      </c>
      <c r="D108" s="29">
        <f t="shared" si="1"/>
        <v>0</v>
      </c>
    </row>
    <row r="109" ht="15.75" customHeight="1">
      <c r="A109" s="16" t="s">
        <v>114</v>
      </c>
      <c r="B109" s="28">
        <v>-0.75</v>
      </c>
      <c r="C109" s="25" t="s">
        <v>109</v>
      </c>
      <c r="D109" s="29">
        <f t="shared" si="1"/>
        <v>0</v>
      </c>
    </row>
    <row r="110" ht="15.75" customHeight="1">
      <c r="A110" s="16" t="s">
        <v>115</v>
      </c>
      <c r="B110" s="28">
        <v>-0.9</v>
      </c>
      <c r="C110" s="25" t="s">
        <v>109</v>
      </c>
      <c r="D110" s="29">
        <f t="shared" si="1"/>
        <v>0</v>
      </c>
    </row>
    <row r="111" ht="15.75" customHeight="1">
      <c r="A111" s="16" t="s">
        <v>116</v>
      </c>
      <c r="B111" s="28">
        <v>-0.5</v>
      </c>
      <c r="C111" s="25" t="s">
        <v>109</v>
      </c>
      <c r="D111" s="29">
        <f t="shared" si="1"/>
        <v>0</v>
      </c>
    </row>
    <row r="112" ht="15.75" customHeight="1">
      <c r="A112" s="16" t="s">
        <v>117</v>
      </c>
      <c r="B112" s="28">
        <v>-0.5</v>
      </c>
      <c r="C112" s="25" t="s">
        <v>109</v>
      </c>
      <c r="D112" s="29">
        <f t="shared" si="1"/>
        <v>0</v>
      </c>
    </row>
    <row r="113" ht="15.75" customHeight="1">
      <c r="A113" s="16" t="s">
        <v>118</v>
      </c>
      <c r="B113" s="28">
        <v>-1.0</v>
      </c>
      <c r="C113" s="25" t="s">
        <v>109</v>
      </c>
      <c r="D113" s="29">
        <f t="shared" si="1"/>
        <v>0</v>
      </c>
    </row>
    <row r="114" ht="15.75" customHeight="1">
      <c r="A114" s="16" t="s">
        <v>119</v>
      </c>
      <c r="B114" s="28">
        <v>-0.25</v>
      </c>
      <c r="C114" s="30" t="s">
        <v>97</v>
      </c>
      <c r="D114" s="29">
        <f t="shared" si="1"/>
        <v>-24.5</v>
      </c>
    </row>
    <row r="115" ht="15.75" customHeight="1">
      <c r="A115" s="16" t="s">
        <v>120</v>
      </c>
      <c r="B115" s="28">
        <v>-1.0</v>
      </c>
      <c r="C115" s="25" t="s">
        <v>109</v>
      </c>
      <c r="D115" s="29">
        <f t="shared" si="1"/>
        <v>0</v>
      </c>
    </row>
    <row r="116" ht="15.75" customHeight="1">
      <c r="A116" s="16" t="s">
        <v>121</v>
      </c>
      <c r="B116" s="28">
        <v>-1.0</v>
      </c>
      <c r="C116" s="25" t="s">
        <v>109</v>
      </c>
      <c r="D116" s="29">
        <f t="shared" si="1"/>
        <v>0</v>
      </c>
    </row>
    <row r="117" ht="15.75" customHeight="1">
      <c r="A117" s="16" t="s">
        <v>122</v>
      </c>
      <c r="B117" s="28">
        <v>-0.5</v>
      </c>
      <c r="C117" s="25" t="s">
        <v>109</v>
      </c>
      <c r="D117" s="29">
        <f t="shared" si="1"/>
        <v>0</v>
      </c>
    </row>
    <row r="118" ht="15.75" customHeight="1">
      <c r="A118" s="16" t="s">
        <v>123</v>
      </c>
      <c r="B118" s="28">
        <v>-1.0</v>
      </c>
      <c r="C118" s="25" t="s">
        <v>109</v>
      </c>
      <c r="D118" s="29">
        <f t="shared" si="1"/>
        <v>0</v>
      </c>
    </row>
    <row r="119" ht="15.75" customHeight="1">
      <c r="A119" s="21" t="s">
        <v>124</v>
      </c>
      <c r="B119" s="23"/>
      <c r="C119" s="23"/>
      <c r="D119" s="24">
        <f>SUM(D104:D118)</f>
        <v>-24.5</v>
      </c>
    </row>
    <row r="120" ht="15.75" customHeight="1">
      <c r="A120" s="2"/>
      <c r="B120" s="2"/>
      <c r="C120" s="2"/>
      <c r="D120" s="2"/>
    </row>
    <row r="121" ht="21.75" customHeight="1">
      <c r="A121" s="31" t="s">
        <v>125</v>
      </c>
      <c r="B121" s="32"/>
      <c r="C121" s="32"/>
      <c r="D121" s="33">
        <f>MAX(0,ROUND($D$91+$D$119,2))</f>
        <v>73.5</v>
      </c>
    </row>
    <row r="122" ht="15.75" customHeight="1">
      <c r="A122" s="2"/>
      <c r="B122" s="2"/>
      <c r="C122" s="2"/>
      <c r="D122" s="2"/>
    </row>
    <row r="123" ht="15.75" customHeight="1">
      <c r="A123" s="4" t="s">
        <v>126</v>
      </c>
      <c r="B123" s="2"/>
      <c r="C123" s="2"/>
      <c r="D123" s="2"/>
    </row>
    <row r="124" ht="18.0" customHeight="1">
      <c r="A124" s="34"/>
      <c r="B124" s="35"/>
      <c r="C124" s="35"/>
      <c r="D124" s="36"/>
    </row>
    <row r="125" ht="18.0" customHeight="1">
      <c r="A125" s="34"/>
      <c r="B125" s="35"/>
      <c r="C125" s="35"/>
      <c r="D125" s="36"/>
    </row>
    <row r="126" ht="18.0" customHeight="1">
      <c r="A126" s="34"/>
      <c r="B126" s="35"/>
      <c r="C126" s="35"/>
      <c r="D126" s="36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37" t="s">
        <v>127</v>
      </c>
      <c r="B129" s="2"/>
      <c r="C129" s="37" t="s">
        <v>127</v>
      </c>
      <c r="D129" s="2"/>
    </row>
    <row r="130" ht="15.75" customHeight="1">
      <c r="A130" s="37" t="s">
        <v>128</v>
      </c>
      <c r="B130" s="2"/>
      <c r="C130" s="37" t="s">
        <v>129</v>
      </c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mergeCells count="6">
    <mergeCell ref="A14:D14"/>
    <mergeCell ref="A15:D15"/>
    <mergeCell ref="A16:D16"/>
    <mergeCell ref="A124:D124"/>
    <mergeCell ref="A125:D125"/>
    <mergeCell ref="A126:D126"/>
  </mergeCells>
  <conditionalFormatting sqref="D19:D90">
    <cfRule type="cellIs" dxfId="0" priority="1" operator="greaterThan">
      <formula>B19</formula>
    </cfRule>
  </conditionalFormatting>
  <dataValidations>
    <dataValidation type="list" allowBlank="1" sqref="B95:B100 C104:C118">
      <formula1>"Sí,No"</formula1>
    </dataValidation>
  </dataValidations>
  <printOptions horizontalCentered="1"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8.0" topLeftCell="A19" activePane="bottomLeft" state="frozen"/>
      <selection activeCell="B20" sqref="B20" pane="bottomLeft"/>
    </sheetView>
  </sheetViews>
  <sheetFormatPr customHeight="1" defaultColWidth="14.43" defaultRowHeight="15.0"/>
  <cols>
    <col customWidth="1" min="1" max="1" width="78.0"/>
    <col customWidth="1" min="2" max="2" width="11.0"/>
    <col customWidth="1" min="3" max="3" width="34.0"/>
    <col customWidth="1" min="4" max="4" width="11.0"/>
    <col customWidth="1" min="5" max="26" width="8.71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3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2"/>
      <c r="B7" s="2"/>
      <c r="C7" s="2"/>
      <c r="D7" s="2"/>
    </row>
    <row r="8">
      <c r="A8" s="3" t="s">
        <v>6</v>
      </c>
      <c r="B8" s="2"/>
      <c r="C8" s="2"/>
      <c r="D8" s="2"/>
    </row>
    <row r="9">
      <c r="A9" s="2"/>
      <c r="B9" s="2"/>
      <c r="C9" s="2"/>
      <c r="D9" s="2"/>
    </row>
    <row r="10">
      <c r="A10" s="4" t="s">
        <v>7</v>
      </c>
      <c r="B10" s="7">
        <v>46254.0</v>
      </c>
      <c r="C10" s="2"/>
      <c r="D10" s="2"/>
    </row>
    <row r="11">
      <c r="A11" s="4" t="s">
        <v>8</v>
      </c>
      <c r="B11" s="6" t="s">
        <v>13</v>
      </c>
      <c r="C11" s="2"/>
      <c r="D11" s="2"/>
    </row>
    <row r="12">
      <c r="A12" s="4" t="s">
        <v>10</v>
      </c>
      <c r="B12" s="6">
        <v>2.02501349E8</v>
      </c>
      <c r="C12" s="2"/>
      <c r="D12" s="2"/>
    </row>
    <row r="13">
      <c r="A13" s="2"/>
      <c r="B13" s="2"/>
      <c r="C13" s="2"/>
      <c r="D13" s="2"/>
    </row>
    <row r="14" ht="25.5" customHeight="1">
      <c r="A14" s="8" t="s">
        <v>12</v>
      </c>
    </row>
    <row r="15" ht="25.5" customHeight="1">
      <c r="A15" s="8" t="s">
        <v>14</v>
      </c>
    </row>
    <row r="16" ht="25.5" customHeight="1">
      <c r="A16" s="8" t="s">
        <v>15</v>
      </c>
    </row>
    <row r="17">
      <c r="A17" s="2"/>
      <c r="B17" s="2"/>
      <c r="C17" s="2"/>
      <c r="D17" s="2"/>
    </row>
    <row r="18" ht="19.5" customHeight="1">
      <c r="A18" s="9" t="s">
        <v>16</v>
      </c>
      <c r="B18" s="9" t="s">
        <v>17</v>
      </c>
      <c r="C18" s="9" t="s">
        <v>18</v>
      </c>
      <c r="D18" s="9" t="s">
        <v>19</v>
      </c>
    </row>
    <row r="19" ht="19.5" customHeight="1">
      <c r="A19" s="10" t="s">
        <v>20</v>
      </c>
      <c r="B19" s="11">
        <f>B20+B25+B30</f>
        <v>25</v>
      </c>
      <c r="C19" s="10"/>
      <c r="D19" s="12">
        <f>D20+D25+D30</f>
        <v>25</v>
      </c>
    </row>
    <row r="20" ht="18.0" customHeight="1">
      <c r="A20" s="13" t="s">
        <v>21</v>
      </c>
      <c r="B20" s="14">
        <f>SUM(B21:B24)</f>
        <v>10</v>
      </c>
      <c r="C20" s="13"/>
      <c r="D20" s="15">
        <f>SUM(D21:D24)</f>
        <v>10</v>
      </c>
    </row>
    <row r="21" ht="15.0" customHeight="1">
      <c r="A21" s="16" t="s">
        <v>22</v>
      </c>
      <c r="B21" s="17">
        <v>3.0</v>
      </c>
      <c r="C21" s="18"/>
      <c r="D21" s="19">
        <v>3.0</v>
      </c>
    </row>
    <row r="22" ht="15.0" customHeight="1">
      <c r="A22" s="16" t="s">
        <v>23</v>
      </c>
      <c r="B22" s="17">
        <v>3.0</v>
      </c>
      <c r="C22" s="18"/>
      <c r="D22" s="19">
        <v>3.0</v>
      </c>
    </row>
    <row r="23" ht="15.0" customHeight="1">
      <c r="A23" s="16" t="s">
        <v>24</v>
      </c>
      <c r="B23" s="17">
        <v>2.0</v>
      </c>
      <c r="C23" s="18"/>
      <c r="D23" s="19">
        <v>2.0</v>
      </c>
    </row>
    <row r="24" ht="15.0" customHeight="1">
      <c r="A24" s="16" t="s">
        <v>25</v>
      </c>
      <c r="B24" s="17">
        <v>2.0</v>
      </c>
      <c r="C24" s="18"/>
      <c r="D24" s="19">
        <v>2.0</v>
      </c>
    </row>
    <row r="25" ht="18.0" customHeight="1">
      <c r="A25" s="13" t="s">
        <v>26</v>
      </c>
      <c r="B25" s="14">
        <f>SUM(B26:B29)</f>
        <v>10</v>
      </c>
      <c r="C25" s="13"/>
      <c r="D25" s="15">
        <f>SUM(D26:D29)</f>
        <v>10</v>
      </c>
    </row>
    <row r="26" ht="15.0" customHeight="1">
      <c r="A26" s="16" t="s">
        <v>27</v>
      </c>
      <c r="B26" s="17">
        <v>4.0</v>
      </c>
      <c r="C26" s="18"/>
      <c r="D26" s="19">
        <v>4.0</v>
      </c>
    </row>
    <row r="27" ht="15.0" customHeight="1">
      <c r="A27" s="16" t="s">
        <v>28</v>
      </c>
      <c r="B27" s="17">
        <v>2.0</v>
      </c>
      <c r="C27" s="18"/>
      <c r="D27" s="19">
        <v>2.0</v>
      </c>
    </row>
    <row r="28" ht="15.0" customHeight="1">
      <c r="A28" s="16" t="s">
        <v>29</v>
      </c>
      <c r="B28" s="17">
        <v>3.0</v>
      </c>
      <c r="C28" s="18"/>
      <c r="D28" s="19">
        <v>3.0</v>
      </c>
    </row>
    <row r="29" ht="15.0" customHeight="1">
      <c r="A29" s="16" t="s">
        <v>30</v>
      </c>
      <c r="B29" s="17">
        <v>1.0</v>
      </c>
      <c r="C29" s="18"/>
      <c r="D29" s="19">
        <v>1.0</v>
      </c>
    </row>
    <row r="30" ht="18.0" customHeight="1">
      <c r="A30" s="13" t="s">
        <v>31</v>
      </c>
      <c r="B30" s="14">
        <f>SUM(B31:B35)</f>
        <v>5</v>
      </c>
      <c r="C30" s="13"/>
      <c r="D30" s="15">
        <f>SUM(D31:D35)</f>
        <v>5</v>
      </c>
    </row>
    <row r="31" ht="15.0" customHeight="1">
      <c r="A31" s="16" t="s">
        <v>32</v>
      </c>
      <c r="B31" s="17">
        <v>1.0</v>
      </c>
      <c r="C31" s="18"/>
      <c r="D31" s="19">
        <v>1.0</v>
      </c>
    </row>
    <row r="32" ht="15.0" customHeight="1">
      <c r="A32" s="16" t="s">
        <v>33</v>
      </c>
      <c r="B32" s="17">
        <v>1.0</v>
      </c>
      <c r="C32" s="18"/>
      <c r="D32" s="19">
        <v>1.0</v>
      </c>
    </row>
    <row r="33" ht="15.0" customHeight="1">
      <c r="A33" s="16" t="s">
        <v>34</v>
      </c>
      <c r="B33" s="17">
        <v>1.0</v>
      </c>
      <c r="C33" s="18"/>
      <c r="D33" s="19">
        <v>1.0</v>
      </c>
    </row>
    <row r="34" ht="15.0" customHeight="1">
      <c r="A34" s="16" t="s">
        <v>35</v>
      </c>
      <c r="B34" s="17">
        <v>1.0</v>
      </c>
      <c r="C34" s="18"/>
      <c r="D34" s="19">
        <v>1.0</v>
      </c>
    </row>
    <row r="35" ht="15.0" customHeight="1">
      <c r="A35" s="16" t="s">
        <v>36</v>
      </c>
      <c r="B35" s="17">
        <v>1.0</v>
      </c>
      <c r="C35" s="18"/>
      <c r="D35" s="19">
        <v>1.0</v>
      </c>
    </row>
    <row r="36" ht="19.5" customHeight="1">
      <c r="A36" s="10" t="s">
        <v>37</v>
      </c>
      <c r="B36" s="11">
        <f>B37+B43+B55+B61+B67+B72+B78</f>
        <v>55</v>
      </c>
      <c r="C36" s="10"/>
      <c r="D36" s="12">
        <f>D37+D43+D55+D61+D67+D72+D78</f>
        <v>48</v>
      </c>
    </row>
    <row r="37" ht="18.0" customHeight="1">
      <c r="A37" s="13" t="s">
        <v>38</v>
      </c>
      <c r="B37" s="14">
        <f>SUM(B38:B42)</f>
        <v>5</v>
      </c>
      <c r="C37" s="13"/>
      <c r="D37" s="15">
        <f>SUM(D38:D42)</f>
        <v>3</v>
      </c>
    </row>
    <row r="38" ht="15.0" customHeight="1">
      <c r="A38" s="16" t="s">
        <v>39</v>
      </c>
      <c r="B38" s="17">
        <v>1.0</v>
      </c>
      <c r="C38" s="18"/>
      <c r="D38" s="19">
        <v>0.0</v>
      </c>
    </row>
    <row r="39" ht="15.0" customHeight="1">
      <c r="A39" s="16" t="s">
        <v>40</v>
      </c>
      <c r="B39" s="17">
        <v>1.0</v>
      </c>
      <c r="C39" s="18"/>
      <c r="D39" s="19">
        <v>0.0</v>
      </c>
    </row>
    <row r="40" ht="15.0" customHeight="1">
      <c r="A40" s="16" t="s">
        <v>41</v>
      </c>
      <c r="B40" s="17">
        <v>1.0</v>
      </c>
      <c r="C40" s="18"/>
      <c r="D40" s="19">
        <v>1.0</v>
      </c>
    </row>
    <row r="41" ht="15.0" customHeight="1">
      <c r="A41" s="16" t="s">
        <v>42</v>
      </c>
      <c r="B41" s="17">
        <v>1.0</v>
      </c>
      <c r="C41" s="18"/>
      <c r="D41" s="19">
        <v>1.0</v>
      </c>
    </row>
    <row r="42" ht="15.0" customHeight="1">
      <c r="A42" s="16" t="s">
        <v>43</v>
      </c>
      <c r="B42" s="17">
        <v>1.0</v>
      </c>
      <c r="C42" s="18"/>
      <c r="D42" s="19">
        <v>1.0</v>
      </c>
    </row>
    <row r="43" ht="18.0" customHeight="1">
      <c r="A43" s="13" t="s">
        <v>44</v>
      </c>
      <c r="B43" s="14">
        <f>SUM(B44:B54)</f>
        <v>15</v>
      </c>
      <c r="C43" s="13"/>
      <c r="D43" s="15">
        <f>SUM(D44:D54)</f>
        <v>12</v>
      </c>
    </row>
    <row r="44" ht="15.0" customHeight="1">
      <c r="A44" s="16" t="s">
        <v>45</v>
      </c>
      <c r="B44" s="17">
        <v>2.0</v>
      </c>
      <c r="C44" s="18"/>
      <c r="D44" s="19">
        <v>2.0</v>
      </c>
    </row>
    <row r="45" ht="15.0" customHeight="1">
      <c r="A45" s="16" t="s">
        <v>46</v>
      </c>
      <c r="B45" s="17">
        <v>1.0</v>
      </c>
      <c r="C45" s="18"/>
      <c r="D45" s="19">
        <v>1.0</v>
      </c>
    </row>
    <row r="46" ht="15.0" customHeight="1">
      <c r="A46" s="16" t="s">
        <v>47</v>
      </c>
      <c r="B46" s="17">
        <v>1.0</v>
      </c>
      <c r="C46" s="18"/>
      <c r="D46" s="19">
        <v>1.0</v>
      </c>
    </row>
    <row r="47" ht="15.0" customHeight="1">
      <c r="A47" s="16" t="s">
        <v>48</v>
      </c>
      <c r="B47" s="17">
        <v>1.0</v>
      </c>
      <c r="C47" s="18"/>
      <c r="D47" s="19">
        <v>1.0</v>
      </c>
    </row>
    <row r="48" ht="15.0" customHeight="1">
      <c r="A48" s="16" t="s">
        <v>49</v>
      </c>
      <c r="B48" s="17">
        <v>2.0</v>
      </c>
      <c r="C48" s="18"/>
      <c r="D48" s="19">
        <v>0.0</v>
      </c>
    </row>
    <row r="49" ht="15.0" customHeight="1">
      <c r="A49" s="16" t="s">
        <v>50</v>
      </c>
      <c r="B49" s="17">
        <v>2.0</v>
      </c>
      <c r="C49" s="18"/>
      <c r="D49" s="19">
        <v>2.0</v>
      </c>
    </row>
    <row r="50" ht="15.0" customHeight="1">
      <c r="A50" s="16" t="s">
        <v>51</v>
      </c>
      <c r="B50" s="17">
        <v>1.0</v>
      </c>
      <c r="C50" s="18"/>
      <c r="D50" s="19">
        <v>0.0</v>
      </c>
    </row>
    <row r="51" ht="15.0" customHeight="1">
      <c r="A51" s="16" t="s">
        <v>52</v>
      </c>
      <c r="B51" s="17">
        <v>1.0</v>
      </c>
      <c r="C51" s="18"/>
      <c r="D51" s="19">
        <v>1.0</v>
      </c>
    </row>
    <row r="52" ht="15.0" customHeight="1">
      <c r="A52" s="16" t="s">
        <v>53</v>
      </c>
      <c r="B52" s="17">
        <v>2.0</v>
      </c>
      <c r="C52" s="18"/>
      <c r="D52" s="19">
        <v>2.0</v>
      </c>
    </row>
    <row r="53" ht="15.0" customHeight="1">
      <c r="A53" s="16" t="s">
        <v>54</v>
      </c>
      <c r="B53" s="17">
        <v>1.0</v>
      </c>
      <c r="C53" s="18"/>
      <c r="D53" s="19">
        <v>1.0</v>
      </c>
    </row>
    <row r="54" ht="15.0" customHeight="1">
      <c r="A54" s="16" t="s">
        <v>55</v>
      </c>
      <c r="B54" s="17">
        <v>1.0</v>
      </c>
      <c r="C54" s="18"/>
      <c r="D54" s="19">
        <v>1.0</v>
      </c>
    </row>
    <row r="55" ht="18.0" customHeight="1">
      <c r="A55" s="13" t="s">
        <v>56</v>
      </c>
      <c r="B55" s="14">
        <f>SUM(B56:B60)</f>
        <v>8</v>
      </c>
      <c r="C55" s="13"/>
      <c r="D55" s="15">
        <f>SUM(D56:D60)</f>
        <v>8</v>
      </c>
    </row>
    <row r="56" ht="15.0" customHeight="1">
      <c r="A56" s="16" t="s">
        <v>57</v>
      </c>
      <c r="B56" s="17">
        <v>1.0</v>
      </c>
      <c r="C56" s="18"/>
      <c r="D56" s="19">
        <v>1.0</v>
      </c>
    </row>
    <row r="57" ht="15.0" customHeight="1">
      <c r="A57" s="16" t="s">
        <v>58</v>
      </c>
      <c r="B57" s="17">
        <v>2.0</v>
      </c>
      <c r="C57" s="18"/>
      <c r="D57" s="19">
        <v>2.0</v>
      </c>
    </row>
    <row r="58" ht="15.0" customHeight="1">
      <c r="A58" s="16" t="s">
        <v>59</v>
      </c>
      <c r="B58" s="17">
        <v>2.0</v>
      </c>
      <c r="C58" s="18"/>
      <c r="D58" s="19">
        <v>2.0</v>
      </c>
    </row>
    <row r="59" ht="15.0" customHeight="1">
      <c r="A59" s="16" t="s">
        <v>60</v>
      </c>
      <c r="B59" s="17">
        <v>2.0</v>
      </c>
      <c r="C59" s="18"/>
      <c r="D59" s="19">
        <v>2.0</v>
      </c>
    </row>
    <row r="60" ht="15.0" customHeight="1">
      <c r="A60" s="16" t="s">
        <v>61</v>
      </c>
      <c r="B60" s="17">
        <v>1.0</v>
      </c>
      <c r="C60" s="18"/>
      <c r="D60" s="19">
        <v>1.0</v>
      </c>
    </row>
    <row r="61" ht="18.0" customHeight="1">
      <c r="A61" s="13" t="s">
        <v>62</v>
      </c>
      <c r="B61" s="14">
        <f>SUM(B62:B66)</f>
        <v>8</v>
      </c>
      <c r="C61" s="13"/>
      <c r="D61" s="15">
        <f>SUM(D62:D66)</f>
        <v>8</v>
      </c>
    </row>
    <row r="62" ht="15.0" customHeight="1">
      <c r="A62" s="16" t="s">
        <v>63</v>
      </c>
      <c r="B62" s="17">
        <v>2.0</v>
      </c>
      <c r="C62" s="18"/>
      <c r="D62" s="19">
        <v>2.0</v>
      </c>
    </row>
    <row r="63" ht="15.0" customHeight="1">
      <c r="A63" s="16" t="s">
        <v>64</v>
      </c>
      <c r="B63" s="17">
        <v>2.0</v>
      </c>
      <c r="C63" s="18"/>
      <c r="D63" s="19">
        <v>2.0</v>
      </c>
    </row>
    <row r="64" ht="15.0" customHeight="1">
      <c r="A64" s="16" t="s">
        <v>65</v>
      </c>
      <c r="B64" s="17">
        <v>1.0</v>
      </c>
      <c r="C64" s="18"/>
      <c r="D64" s="19">
        <v>1.0</v>
      </c>
    </row>
    <row r="65" ht="15.0" customHeight="1">
      <c r="A65" s="16" t="s">
        <v>66</v>
      </c>
      <c r="B65" s="17">
        <v>2.0</v>
      </c>
      <c r="C65" s="18"/>
      <c r="D65" s="19">
        <v>2.0</v>
      </c>
    </row>
    <row r="66" ht="15.0" customHeight="1">
      <c r="A66" s="16" t="s">
        <v>67</v>
      </c>
      <c r="B66" s="17">
        <v>1.0</v>
      </c>
      <c r="C66" s="18"/>
      <c r="D66" s="19">
        <v>1.0</v>
      </c>
    </row>
    <row r="67" ht="18.0" customHeight="1">
      <c r="A67" s="13" t="s">
        <v>68</v>
      </c>
      <c r="B67" s="14">
        <f>SUM(B68:B71)</f>
        <v>5</v>
      </c>
      <c r="C67" s="13"/>
      <c r="D67" s="15">
        <f>SUM(D68:D71)</f>
        <v>5</v>
      </c>
    </row>
    <row r="68" ht="15.0" customHeight="1">
      <c r="A68" s="16" t="s">
        <v>69</v>
      </c>
      <c r="B68" s="17">
        <v>1.0</v>
      </c>
      <c r="C68" s="18"/>
      <c r="D68" s="19">
        <v>1.0</v>
      </c>
    </row>
    <row r="69" ht="15.0" customHeight="1">
      <c r="A69" s="16" t="s">
        <v>70</v>
      </c>
      <c r="B69" s="17">
        <v>2.0</v>
      </c>
      <c r="C69" s="18"/>
      <c r="D69" s="19">
        <v>2.0</v>
      </c>
    </row>
    <row r="70" ht="15.0" customHeight="1">
      <c r="A70" s="16" t="s">
        <v>71</v>
      </c>
      <c r="B70" s="17">
        <v>1.0</v>
      </c>
      <c r="C70" s="18"/>
      <c r="D70" s="19">
        <v>1.0</v>
      </c>
    </row>
    <row r="71" ht="15.0" customHeight="1">
      <c r="A71" s="16" t="s">
        <v>72</v>
      </c>
      <c r="B71" s="17">
        <v>1.0</v>
      </c>
      <c r="C71" s="18"/>
      <c r="D71" s="19">
        <v>1.0</v>
      </c>
    </row>
    <row r="72" ht="18.0" customHeight="1">
      <c r="A72" s="13" t="s">
        <v>73</v>
      </c>
      <c r="B72" s="14">
        <f>SUM(B73:B77)</f>
        <v>8</v>
      </c>
      <c r="C72" s="13"/>
      <c r="D72" s="15">
        <f>SUM(D73:D77)</f>
        <v>6</v>
      </c>
    </row>
    <row r="73" ht="15.0" customHeight="1">
      <c r="A73" s="16" t="s">
        <v>74</v>
      </c>
      <c r="B73" s="17">
        <v>2.0</v>
      </c>
      <c r="C73" s="18"/>
      <c r="D73" s="19">
        <v>1.0</v>
      </c>
    </row>
    <row r="74" ht="15.0" customHeight="1">
      <c r="A74" s="16" t="s">
        <v>75</v>
      </c>
      <c r="B74" s="17">
        <v>2.0</v>
      </c>
      <c r="C74" s="18"/>
      <c r="D74" s="19">
        <v>1.0</v>
      </c>
    </row>
    <row r="75" ht="15.0" customHeight="1">
      <c r="A75" s="16" t="s">
        <v>76</v>
      </c>
      <c r="B75" s="17">
        <v>1.0</v>
      </c>
      <c r="C75" s="18"/>
      <c r="D75" s="19">
        <v>1.0</v>
      </c>
    </row>
    <row r="76" ht="15.0" customHeight="1">
      <c r="A76" s="16" t="s">
        <v>77</v>
      </c>
      <c r="B76" s="17">
        <v>2.0</v>
      </c>
      <c r="C76" s="18"/>
      <c r="D76" s="19">
        <v>2.0</v>
      </c>
    </row>
    <row r="77" ht="15.0" customHeight="1">
      <c r="A77" s="16" t="s">
        <v>78</v>
      </c>
      <c r="B77" s="17">
        <v>1.0</v>
      </c>
      <c r="C77" s="18"/>
      <c r="D77" s="19">
        <v>1.0</v>
      </c>
    </row>
    <row r="78" ht="18.0" customHeight="1">
      <c r="A78" s="13" t="s">
        <v>79</v>
      </c>
      <c r="B78" s="14">
        <f>SUM(B79:B82)</f>
        <v>6</v>
      </c>
      <c r="C78" s="13"/>
      <c r="D78" s="15">
        <f>SUM(D79:D82)</f>
        <v>6</v>
      </c>
    </row>
    <row r="79" ht="15.0" customHeight="1">
      <c r="A79" s="16" t="s">
        <v>80</v>
      </c>
      <c r="B79" s="17">
        <v>2.0</v>
      </c>
      <c r="C79" s="18"/>
      <c r="D79" s="19">
        <v>2.0</v>
      </c>
    </row>
    <row r="80" ht="15.0" customHeight="1">
      <c r="A80" s="16" t="s">
        <v>81</v>
      </c>
      <c r="B80" s="17">
        <v>1.0</v>
      </c>
      <c r="C80" s="18"/>
      <c r="D80" s="19">
        <v>1.0</v>
      </c>
    </row>
    <row r="81" ht="15.0" customHeight="1">
      <c r="A81" s="16" t="s">
        <v>82</v>
      </c>
      <c r="B81" s="17">
        <v>2.0</v>
      </c>
      <c r="C81" s="18"/>
      <c r="D81" s="19">
        <v>2.0</v>
      </c>
    </row>
    <row r="82" ht="15.0" customHeight="1">
      <c r="A82" s="16" t="s">
        <v>83</v>
      </c>
      <c r="B82" s="17">
        <v>1.0</v>
      </c>
      <c r="C82" s="18"/>
      <c r="D82" s="19">
        <v>1.0</v>
      </c>
    </row>
    <row r="83" ht="19.5" customHeight="1">
      <c r="A83" s="10" t="s">
        <v>84</v>
      </c>
      <c r="B83" s="11">
        <f>B84+B87</f>
        <v>20</v>
      </c>
      <c r="C83" s="10"/>
      <c r="D83" s="12">
        <f>D84+D87</f>
        <v>20</v>
      </c>
    </row>
    <row r="84" ht="18.0" customHeight="1">
      <c r="A84" s="13" t="s">
        <v>85</v>
      </c>
      <c r="B84" s="14">
        <f>SUM(B85:B86)</f>
        <v>5</v>
      </c>
      <c r="C84" s="13"/>
      <c r="D84" s="15">
        <f>SUM(D85:D86)</f>
        <v>5</v>
      </c>
    </row>
    <row r="85" ht="15.0" customHeight="1">
      <c r="A85" s="16" t="s">
        <v>86</v>
      </c>
      <c r="B85" s="17">
        <v>2.5</v>
      </c>
      <c r="C85" s="18"/>
      <c r="D85" s="19">
        <v>2.5</v>
      </c>
    </row>
    <row r="86" ht="15.0" customHeight="1">
      <c r="A86" s="16" t="s">
        <v>87</v>
      </c>
      <c r="B86" s="17">
        <v>2.5</v>
      </c>
      <c r="C86" s="18"/>
      <c r="D86" s="19">
        <v>2.5</v>
      </c>
    </row>
    <row r="87" ht="18.0" customHeight="1">
      <c r="A87" s="13" t="s">
        <v>88</v>
      </c>
      <c r="B87" s="14">
        <f>SUM(B88:B90)</f>
        <v>15</v>
      </c>
      <c r="C87" s="13"/>
      <c r="D87" s="15">
        <f>SUM(D88:D90)</f>
        <v>15</v>
      </c>
    </row>
    <row r="88" ht="15.0" customHeight="1">
      <c r="A88" s="16" t="s">
        <v>89</v>
      </c>
      <c r="B88" s="17">
        <v>5.0</v>
      </c>
      <c r="C88" s="18"/>
      <c r="D88" s="19">
        <v>5.0</v>
      </c>
    </row>
    <row r="89" ht="15.0" customHeight="1">
      <c r="A89" s="16" t="s">
        <v>90</v>
      </c>
      <c r="B89" s="17">
        <v>5.0</v>
      </c>
      <c r="C89" s="18"/>
      <c r="D89" s="19">
        <v>5.0</v>
      </c>
    </row>
    <row r="90" ht="15.0" customHeight="1">
      <c r="A90" s="16" t="s">
        <v>91</v>
      </c>
      <c r="B90" s="17">
        <v>5.0</v>
      </c>
      <c r="C90" s="18"/>
      <c r="D90" s="19">
        <v>5.0</v>
      </c>
    </row>
    <row r="91" ht="19.5" customHeight="1">
      <c r="A91" s="21" t="s">
        <v>92</v>
      </c>
      <c r="B91" s="22">
        <f>B19+B36+B83</f>
        <v>100</v>
      </c>
      <c r="C91" s="23"/>
      <c r="D91" s="24">
        <f>D19+D36+D83</f>
        <v>93</v>
      </c>
    </row>
    <row r="92" ht="15.75" customHeight="1">
      <c r="A92" s="2"/>
      <c r="B92" s="2"/>
      <c r="C92" s="2"/>
      <c r="D92" s="2"/>
    </row>
    <row r="93" ht="15.75" customHeight="1">
      <c r="A93" s="1" t="s">
        <v>93</v>
      </c>
      <c r="B93" s="2"/>
      <c r="C93" s="2"/>
      <c r="D93" s="2"/>
    </row>
    <row r="94" ht="15.75" customHeight="1">
      <c r="A94" s="9" t="s">
        <v>94</v>
      </c>
      <c r="B94" s="9" t="s">
        <v>95</v>
      </c>
      <c r="C94" s="9" t="s">
        <v>18</v>
      </c>
      <c r="D94" s="9"/>
    </row>
    <row r="95" ht="15.75" customHeight="1">
      <c r="A95" s="16" t="s">
        <v>96</v>
      </c>
      <c r="B95" s="25" t="s">
        <v>97</v>
      </c>
      <c r="C95" s="26"/>
      <c r="D95" s="27"/>
    </row>
    <row r="96" ht="15.75" customHeight="1">
      <c r="A96" s="16" t="s">
        <v>98</v>
      </c>
      <c r="B96" s="25" t="s">
        <v>97</v>
      </c>
      <c r="C96" s="26"/>
      <c r="D96" s="27"/>
    </row>
    <row r="97" ht="15.75" customHeight="1">
      <c r="A97" s="16" t="s">
        <v>99</v>
      </c>
      <c r="B97" s="25" t="s">
        <v>97</v>
      </c>
      <c r="C97" s="26"/>
      <c r="D97" s="27"/>
    </row>
    <row r="98" ht="15.75" customHeight="1">
      <c r="A98" s="16" t="s">
        <v>100</v>
      </c>
      <c r="B98" s="25" t="s">
        <v>97</v>
      </c>
      <c r="C98" s="26"/>
      <c r="D98" s="27"/>
    </row>
    <row r="99" ht="15.75" customHeight="1">
      <c r="A99" s="16" t="s">
        <v>101</v>
      </c>
      <c r="B99" s="25" t="s">
        <v>97</v>
      </c>
      <c r="C99" s="26"/>
      <c r="D99" s="27"/>
    </row>
    <row r="100" ht="15.75" customHeight="1">
      <c r="A100" s="16" t="s">
        <v>102</v>
      </c>
      <c r="B100" s="25" t="s">
        <v>97</v>
      </c>
      <c r="C100" s="26"/>
      <c r="D100" s="27"/>
    </row>
    <row r="101" ht="15.75" customHeight="1">
      <c r="A101" s="2"/>
      <c r="B101" s="2"/>
      <c r="C101" s="2"/>
      <c r="D101" s="2"/>
    </row>
    <row r="102" ht="15.75" customHeight="1">
      <c r="A102" s="1" t="s">
        <v>103</v>
      </c>
      <c r="B102" s="2"/>
      <c r="C102" s="2"/>
      <c r="D102" s="2"/>
    </row>
    <row r="103" ht="15.75" customHeight="1">
      <c r="A103" s="9" t="s">
        <v>104</v>
      </c>
      <c r="B103" s="9" t="s">
        <v>105</v>
      </c>
      <c r="C103" s="9" t="s">
        <v>106</v>
      </c>
      <c r="D103" s="9" t="s">
        <v>107</v>
      </c>
    </row>
    <row r="104" ht="15.75" customHeight="1">
      <c r="A104" s="16" t="s">
        <v>108</v>
      </c>
      <c r="B104" s="28">
        <v>-0.3</v>
      </c>
      <c r="C104" s="25" t="s">
        <v>109</v>
      </c>
      <c r="D104" s="29">
        <f t="shared" ref="D104:D118" si="1">IF(C104="Sí",$D$91*B104,0)</f>
        <v>0</v>
      </c>
    </row>
    <row r="105" ht="15.75" customHeight="1">
      <c r="A105" s="16" t="s">
        <v>110</v>
      </c>
      <c r="B105" s="28">
        <v>-0.2</v>
      </c>
      <c r="C105" s="25" t="s">
        <v>109</v>
      </c>
      <c r="D105" s="29">
        <f t="shared" si="1"/>
        <v>0</v>
      </c>
    </row>
    <row r="106" ht="15.75" customHeight="1">
      <c r="A106" s="16" t="s">
        <v>111</v>
      </c>
      <c r="B106" s="28">
        <v>-1.0</v>
      </c>
      <c r="C106" s="25" t="s">
        <v>109</v>
      </c>
      <c r="D106" s="29">
        <f t="shared" si="1"/>
        <v>0</v>
      </c>
    </row>
    <row r="107" ht="15.75" customHeight="1">
      <c r="A107" s="16" t="s">
        <v>112</v>
      </c>
      <c r="B107" s="28">
        <v>-1.0</v>
      </c>
      <c r="C107" s="25" t="s">
        <v>109</v>
      </c>
      <c r="D107" s="29">
        <f t="shared" si="1"/>
        <v>0</v>
      </c>
    </row>
    <row r="108" ht="15.75" customHeight="1">
      <c r="A108" s="16" t="s">
        <v>113</v>
      </c>
      <c r="B108" s="28">
        <v>-0.75</v>
      </c>
      <c r="C108" s="25" t="s">
        <v>109</v>
      </c>
      <c r="D108" s="29">
        <f t="shared" si="1"/>
        <v>0</v>
      </c>
    </row>
    <row r="109" ht="15.75" customHeight="1">
      <c r="A109" s="16" t="s">
        <v>114</v>
      </c>
      <c r="B109" s="28">
        <v>-0.75</v>
      </c>
      <c r="C109" s="25" t="s">
        <v>109</v>
      </c>
      <c r="D109" s="29">
        <f t="shared" si="1"/>
        <v>0</v>
      </c>
    </row>
    <row r="110" ht="15.75" customHeight="1">
      <c r="A110" s="16" t="s">
        <v>115</v>
      </c>
      <c r="B110" s="28">
        <v>-0.9</v>
      </c>
      <c r="C110" s="25" t="s">
        <v>109</v>
      </c>
      <c r="D110" s="29">
        <f t="shared" si="1"/>
        <v>0</v>
      </c>
    </row>
    <row r="111" ht="15.75" customHeight="1">
      <c r="A111" s="16" t="s">
        <v>116</v>
      </c>
      <c r="B111" s="28">
        <v>-0.5</v>
      </c>
      <c r="C111" s="25" t="s">
        <v>109</v>
      </c>
      <c r="D111" s="29">
        <f t="shared" si="1"/>
        <v>0</v>
      </c>
    </row>
    <row r="112" ht="15.75" customHeight="1">
      <c r="A112" s="16" t="s">
        <v>117</v>
      </c>
      <c r="B112" s="28">
        <v>-0.5</v>
      </c>
      <c r="C112" s="25" t="s">
        <v>109</v>
      </c>
      <c r="D112" s="29">
        <f t="shared" si="1"/>
        <v>0</v>
      </c>
    </row>
    <row r="113" ht="15.75" customHeight="1">
      <c r="A113" s="16" t="s">
        <v>118</v>
      </c>
      <c r="B113" s="28">
        <v>-1.0</v>
      </c>
      <c r="C113" s="25" t="s">
        <v>109</v>
      </c>
      <c r="D113" s="29">
        <f t="shared" si="1"/>
        <v>0</v>
      </c>
    </row>
    <row r="114" ht="15.75" customHeight="1">
      <c r="A114" s="16" t="s">
        <v>119</v>
      </c>
      <c r="B114" s="28">
        <v>-0.25</v>
      </c>
      <c r="C114" s="25" t="s">
        <v>109</v>
      </c>
      <c r="D114" s="29">
        <f t="shared" si="1"/>
        <v>0</v>
      </c>
    </row>
    <row r="115" ht="15.75" customHeight="1">
      <c r="A115" s="16" t="s">
        <v>120</v>
      </c>
      <c r="B115" s="28">
        <v>-1.0</v>
      </c>
      <c r="C115" s="25" t="s">
        <v>109</v>
      </c>
      <c r="D115" s="29">
        <f t="shared" si="1"/>
        <v>0</v>
      </c>
    </row>
    <row r="116" ht="15.75" customHeight="1">
      <c r="A116" s="16" t="s">
        <v>121</v>
      </c>
      <c r="B116" s="28">
        <v>-1.0</v>
      </c>
      <c r="C116" s="25" t="s">
        <v>109</v>
      </c>
      <c r="D116" s="29">
        <f t="shared" si="1"/>
        <v>0</v>
      </c>
    </row>
    <row r="117" ht="15.75" customHeight="1">
      <c r="A117" s="16" t="s">
        <v>122</v>
      </c>
      <c r="B117" s="28">
        <v>-0.5</v>
      </c>
      <c r="C117" s="25" t="s">
        <v>109</v>
      </c>
      <c r="D117" s="29">
        <f t="shared" si="1"/>
        <v>0</v>
      </c>
    </row>
    <row r="118" ht="15.75" customHeight="1">
      <c r="A118" s="16" t="s">
        <v>123</v>
      </c>
      <c r="B118" s="28">
        <v>-1.0</v>
      </c>
      <c r="C118" s="25" t="s">
        <v>109</v>
      </c>
      <c r="D118" s="29">
        <f t="shared" si="1"/>
        <v>0</v>
      </c>
    </row>
    <row r="119" ht="15.75" customHeight="1">
      <c r="A119" s="21" t="s">
        <v>124</v>
      </c>
      <c r="B119" s="23"/>
      <c r="C119" s="23"/>
      <c r="D119" s="24">
        <f>SUM(D104:D118)</f>
        <v>0</v>
      </c>
    </row>
    <row r="120" ht="15.75" customHeight="1">
      <c r="A120" s="2"/>
      <c r="B120" s="2"/>
      <c r="C120" s="2"/>
      <c r="D120" s="2"/>
    </row>
    <row r="121" ht="21.75" customHeight="1">
      <c r="A121" s="31" t="s">
        <v>125</v>
      </c>
      <c r="B121" s="32"/>
      <c r="C121" s="32"/>
      <c r="D121" s="33">
        <f>MAX(0,ROUND($D$91+$D$119,2))</f>
        <v>93</v>
      </c>
    </row>
    <row r="122" ht="15.75" customHeight="1">
      <c r="A122" s="2"/>
      <c r="B122" s="2"/>
      <c r="C122" s="2"/>
      <c r="D122" s="2"/>
    </row>
    <row r="123" ht="15.75" customHeight="1">
      <c r="A123" s="4" t="s">
        <v>126</v>
      </c>
      <c r="B123" s="2"/>
      <c r="C123" s="2"/>
      <c r="D123" s="2"/>
    </row>
    <row r="124" ht="18.0" customHeight="1">
      <c r="A124" s="34"/>
      <c r="B124" s="35"/>
      <c r="C124" s="35"/>
      <c r="D124" s="36"/>
    </row>
    <row r="125" ht="18.0" customHeight="1">
      <c r="A125" s="34"/>
      <c r="B125" s="35"/>
      <c r="C125" s="35"/>
      <c r="D125" s="36"/>
    </row>
    <row r="126" ht="18.0" customHeight="1">
      <c r="A126" s="34"/>
      <c r="B126" s="35"/>
      <c r="C126" s="35"/>
      <c r="D126" s="36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37" t="s">
        <v>127</v>
      </c>
      <c r="B129" s="2"/>
      <c r="C129" s="37" t="s">
        <v>127</v>
      </c>
      <c r="D129" s="2"/>
    </row>
    <row r="130" ht="15.75" customHeight="1">
      <c r="A130" s="37" t="s">
        <v>128</v>
      </c>
      <c r="B130" s="2"/>
      <c r="C130" s="37" t="s">
        <v>129</v>
      </c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mergeCells count="6">
    <mergeCell ref="A14:D14"/>
    <mergeCell ref="A15:D15"/>
    <mergeCell ref="A16:D16"/>
    <mergeCell ref="A124:D124"/>
    <mergeCell ref="A125:D125"/>
    <mergeCell ref="A126:D126"/>
  </mergeCells>
  <conditionalFormatting sqref="D19:D90">
    <cfRule type="cellIs" dxfId="0" priority="1" operator="greaterThan">
      <formula>B19</formula>
    </cfRule>
  </conditionalFormatting>
  <dataValidations>
    <dataValidation type="list" allowBlank="1" sqref="B95:B100 C104:C118">
      <formula1>"Sí,No"</formula1>
    </dataValidation>
  </dataValidations>
  <printOptions horizontalCentered="1"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8.0" topLeftCell="A19" activePane="bottomLeft" state="frozen"/>
      <selection activeCell="B20" sqref="B20" pane="bottomLeft"/>
    </sheetView>
  </sheetViews>
  <sheetFormatPr customHeight="1" defaultColWidth="14.43" defaultRowHeight="15.0"/>
  <cols>
    <col customWidth="1" min="1" max="1" width="78.0"/>
    <col customWidth="1" min="2" max="2" width="11.0"/>
    <col customWidth="1" min="3" max="3" width="34.0"/>
    <col customWidth="1" min="4" max="4" width="11.0"/>
    <col customWidth="1" min="5" max="26" width="8.71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3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2"/>
      <c r="B7" s="2"/>
      <c r="C7" s="2"/>
      <c r="D7" s="2"/>
    </row>
    <row r="8">
      <c r="A8" s="3" t="s">
        <v>6</v>
      </c>
      <c r="B8" s="2"/>
      <c r="C8" s="2"/>
      <c r="D8" s="2"/>
    </row>
    <row r="9">
      <c r="A9" s="2"/>
      <c r="B9" s="2"/>
      <c r="C9" s="2"/>
      <c r="D9" s="2"/>
    </row>
    <row r="10">
      <c r="A10" s="4" t="s">
        <v>7</v>
      </c>
      <c r="B10" s="5"/>
      <c r="C10" s="2"/>
      <c r="D10" s="2"/>
    </row>
    <row r="11">
      <c r="A11" s="4" t="s">
        <v>8</v>
      </c>
      <c r="B11" s="6" t="s">
        <v>130</v>
      </c>
      <c r="C11" s="2"/>
      <c r="D11" s="2"/>
    </row>
    <row r="12">
      <c r="A12" s="4" t="s">
        <v>10</v>
      </c>
      <c r="B12" s="6">
        <v>2.02010778E8</v>
      </c>
      <c r="C12" s="2"/>
      <c r="D12" s="2"/>
    </row>
    <row r="13">
      <c r="A13" s="2"/>
      <c r="B13" s="2"/>
      <c r="C13" s="2"/>
      <c r="D13" s="2"/>
    </row>
    <row r="14" ht="25.5" customHeight="1">
      <c r="A14" s="8" t="s">
        <v>12</v>
      </c>
    </row>
    <row r="15" ht="25.5" customHeight="1">
      <c r="A15" s="8" t="s">
        <v>14</v>
      </c>
    </row>
    <row r="16" ht="25.5" customHeight="1">
      <c r="A16" s="8" t="s">
        <v>15</v>
      </c>
    </row>
    <row r="17">
      <c r="A17" s="2"/>
      <c r="B17" s="2"/>
      <c r="C17" s="2"/>
      <c r="D17" s="2"/>
    </row>
    <row r="18" ht="19.5" customHeight="1">
      <c r="A18" s="9" t="s">
        <v>16</v>
      </c>
      <c r="B18" s="9" t="s">
        <v>17</v>
      </c>
      <c r="C18" s="9" t="s">
        <v>18</v>
      </c>
      <c r="D18" s="9" t="s">
        <v>19</v>
      </c>
    </row>
    <row r="19" ht="19.5" customHeight="1">
      <c r="A19" s="10" t="s">
        <v>20</v>
      </c>
      <c r="B19" s="11">
        <f>B20+B25+B30</f>
        <v>25</v>
      </c>
      <c r="C19" s="10"/>
      <c r="D19" s="12">
        <f>D20+D25+D30</f>
        <v>23</v>
      </c>
    </row>
    <row r="20" ht="18.0" customHeight="1">
      <c r="A20" s="13" t="s">
        <v>21</v>
      </c>
      <c r="B20" s="14">
        <f>SUM(B21:B24)</f>
        <v>10</v>
      </c>
      <c r="C20" s="13"/>
      <c r="D20" s="15">
        <f>SUM(D21:D24)</f>
        <v>10</v>
      </c>
    </row>
    <row r="21" ht="15.0" customHeight="1">
      <c r="A21" s="16" t="s">
        <v>22</v>
      </c>
      <c r="B21" s="17">
        <v>3.0</v>
      </c>
      <c r="C21" s="18"/>
      <c r="D21" s="19">
        <v>3.0</v>
      </c>
    </row>
    <row r="22" ht="15.0" customHeight="1">
      <c r="A22" s="16" t="s">
        <v>23</v>
      </c>
      <c r="B22" s="17">
        <v>3.0</v>
      </c>
      <c r="C22" s="18"/>
      <c r="D22" s="19">
        <v>3.0</v>
      </c>
    </row>
    <row r="23" ht="15.0" customHeight="1">
      <c r="A23" s="16" t="s">
        <v>24</v>
      </c>
      <c r="B23" s="17">
        <v>2.0</v>
      </c>
      <c r="C23" s="18"/>
      <c r="D23" s="19">
        <v>2.0</v>
      </c>
    </row>
    <row r="24" ht="15.0" customHeight="1">
      <c r="A24" s="16" t="s">
        <v>25</v>
      </c>
      <c r="B24" s="17">
        <v>2.0</v>
      </c>
      <c r="C24" s="18"/>
      <c r="D24" s="19">
        <v>2.0</v>
      </c>
    </row>
    <row r="25" ht="18.0" customHeight="1">
      <c r="A25" s="13" t="s">
        <v>26</v>
      </c>
      <c r="B25" s="14">
        <f>SUM(B26:B29)</f>
        <v>10</v>
      </c>
      <c r="C25" s="13"/>
      <c r="D25" s="15">
        <f>SUM(D26:D29)</f>
        <v>10</v>
      </c>
    </row>
    <row r="26" ht="15.0" customHeight="1">
      <c r="A26" s="16" t="s">
        <v>27</v>
      </c>
      <c r="B26" s="17">
        <v>4.0</v>
      </c>
      <c r="C26" s="18"/>
      <c r="D26" s="19">
        <v>4.0</v>
      </c>
    </row>
    <row r="27" ht="15.0" customHeight="1">
      <c r="A27" s="16" t="s">
        <v>28</v>
      </c>
      <c r="B27" s="17">
        <v>2.0</v>
      </c>
      <c r="C27" s="18"/>
      <c r="D27" s="19">
        <v>2.0</v>
      </c>
    </row>
    <row r="28" ht="15.0" customHeight="1">
      <c r="A28" s="16" t="s">
        <v>29</v>
      </c>
      <c r="B28" s="17">
        <v>3.0</v>
      </c>
      <c r="C28" s="18"/>
      <c r="D28" s="19">
        <v>3.0</v>
      </c>
    </row>
    <row r="29" ht="15.0" customHeight="1">
      <c r="A29" s="16" t="s">
        <v>30</v>
      </c>
      <c r="B29" s="17">
        <v>1.0</v>
      </c>
      <c r="C29" s="18"/>
      <c r="D29" s="19">
        <v>1.0</v>
      </c>
    </row>
    <row r="30" ht="18.0" customHeight="1">
      <c r="A30" s="13" t="s">
        <v>31</v>
      </c>
      <c r="B30" s="14">
        <f>SUM(B31:B35)</f>
        <v>5</v>
      </c>
      <c r="C30" s="13"/>
      <c r="D30" s="15">
        <f>SUM(D31:D35)</f>
        <v>3</v>
      </c>
    </row>
    <row r="31" ht="15.0" customHeight="1">
      <c r="A31" s="16" t="s">
        <v>32</v>
      </c>
      <c r="B31" s="17">
        <v>1.0</v>
      </c>
      <c r="C31" s="18"/>
      <c r="D31" s="19">
        <v>1.0</v>
      </c>
    </row>
    <row r="32" ht="15.0" customHeight="1">
      <c r="A32" s="16" t="s">
        <v>33</v>
      </c>
      <c r="B32" s="17">
        <v>1.0</v>
      </c>
      <c r="C32" s="18"/>
      <c r="D32" s="19">
        <v>1.0</v>
      </c>
    </row>
    <row r="33" ht="15.0" customHeight="1">
      <c r="A33" s="16" t="s">
        <v>34</v>
      </c>
      <c r="B33" s="17">
        <v>1.0</v>
      </c>
      <c r="C33" s="18"/>
      <c r="D33" s="19">
        <v>1.0</v>
      </c>
    </row>
    <row r="34" ht="15.0" customHeight="1">
      <c r="A34" s="16" t="s">
        <v>35</v>
      </c>
      <c r="B34" s="17">
        <v>1.0</v>
      </c>
      <c r="C34" s="18"/>
      <c r="D34" s="19">
        <v>0.0</v>
      </c>
    </row>
    <row r="35" ht="15.0" customHeight="1">
      <c r="A35" s="16" t="s">
        <v>36</v>
      </c>
      <c r="B35" s="17">
        <v>1.0</v>
      </c>
      <c r="C35" s="18"/>
      <c r="D35" s="19">
        <v>0.0</v>
      </c>
    </row>
    <row r="36" ht="19.5" customHeight="1">
      <c r="A36" s="10" t="s">
        <v>37</v>
      </c>
      <c r="B36" s="11">
        <f>B37+B43+B55+B61+B67+B72+B78</f>
        <v>55</v>
      </c>
      <c r="C36" s="10"/>
      <c r="D36" s="12">
        <f>D37+D43+D55+D61+D67+D72+D78</f>
        <v>53</v>
      </c>
    </row>
    <row r="37" ht="18.0" customHeight="1">
      <c r="A37" s="13" t="s">
        <v>38</v>
      </c>
      <c r="B37" s="14">
        <f>SUM(B38:B42)</f>
        <v>5</v>
      </c>
      <c r="C37" s="13"/>
      <c r="D37" s="15">
        <f>SUM(D38:D42)</f>
        <v>5</v>
      </c>
    </row>
    <row r="38" ht="15.0" customHeight="1">
      <c r="A38" s="16" t="s">
        <v>39</v>
      </c>
      <c r="B38" s="17">
        <v>1.0</v>
      </c>
      <c r="C38" s="18"/>
      <c r="D38" s="19">
        <v>1.0</v>
      </c>
    </row>
    <row r="39" ht="15.0" customHeight="1">
      <c r="A39" s="16" t="s">
        <v>40</v>
      </c>
      <c r="B39" s="17">
        <v>1.0</v>
      </c>
      <c r="C39" s="18"/>
      <c r="D39" s="19">
        <v>1.0</v>
      </c>
    </row>
    <row r="40" ht="15.0" customHeight="1">
      <c r="A40" s="16" t="s">
        <v>41</v>
      </c>
      <c r="B40" s="17">
        <v>1.0</v>
      </c>
      <c r="C40" s="18"/>
      <c r="D40" s="19">
        <v>1.0</v>
      </c>
    </row>
    <row r="41" ht="15.0" customHeight="1">
      <c r="A41" s="16" t="s">
        <v>42</v>
      </c>
      <c r="B41" s="17">
        <v>1.0</v>
      </c>
      <c r="C41" s="18"/>
      <c r="D41" s="19">
        <v>1.0</v>
      </c>
    </row>
    <row r="42" ht="15.0" customHeight="1">
      <c r="A42" s="16" t="s">
        <v>43</v>
      </c>
      <c r="B42" s="17">
        <v>1.0</v>
      </c>
      <c r="C42" s="18"/>
      <c r="D42" s="19">
        <v>1.0</v>
      </c>
    </row>
    <row r="43" ht="18.0" customHeight="1">
      <c r="A43" s="13" t="s">
        <v>44</v>
      </c>
      <c r="B43" s="14">
        <f>SUM(B44:B54)</f>
        <v>15</v>
      </c>
      <c r="C43" s="13"/>
      <c r="D43" s="15">
        <f>SUM(D44:D54)</f>
        <v>13</v>
      </c>
    </row>
    <row r="44" ht="15.0" customHeight="1">
      <c r="A44" s="16" t="s">
        <v>45</v>
      </c>
      <c r="B44" s="17">
        <v>2.0</v>
      </c>
      <c r="C44" s="18"/>
      <c r="D44" s="19">
        <v>2.0</v>
      </c>
    </row>
    <row r="45" ht="15.0" customHeight="1">
      <c r="A45" s="16" t="s">
        <v>46</v>
      </c>
      <c r="B45" s="17">
        <v>1.0</v>
      </c>
      <c r="C45" s="18"/>
      <c r="D45" s="19">
        <v>1.0</v>
      </c>
    </row>
    <row r="46" ht="15.0" customHeight="1">
      <c r="A46" s="16" t="s">
        <v>47</v>
      </c>
      <c r="B46" s="17">
        <v>1.0</v>
      </c>
      <c r="C46" s="18"/>
      <c r="D46" s="19">
        <v>1.0</v>
      </c>
    </row>
    <row r="47" ht="15.0" customHeight="1">
      <c r="A47" s="16" t="s">
        <v>48</v>
      </c>
      <c r="B47" s="17">
        <v>1.0</v>
      </c>
      <c r="C47" s="18"/>
      <c r="D47" s="19">
        <v>1.0</v>
      </c>
    </row>
    <row r="48" ht="15.0" customHeight="1">
      <c r="A48" s="16" t="s">
        <v>49</v>
      </c>
      <c r="B48" s="17">
        <v>2.0</v>
      </c>
      <c r="C48" s="18"/>
      <c r="D48" s="19">
        <v>0.0</v>
      </c>
    </row>
    <row r="49" ht="15.0" customHeight="1">
      <c r="A49" s="16" t="s">
        <v>50</v>
      </c>
      <c r="B49" s="17">
        <v>2.0</v>
      </c>
      <c r="C49" s="18"/>
      <c r="D49" s="19">
        <v>2.0</v>
      </c>
    </row>
    <row r="50" ht="15.0" customHeight="1">
      <c r="A50" s="16" t="s">
        <v>51</v>
      </c>
      <c r="B50" s="17">
        <v>1.0</v>
      </c>
      <c r="C50" s="18"/>
      <c r="D50" s="19">
        <v>1.0</v>
      </c>
    </row>
    <row r="51" ht="15.0" customHeight="1">
      <c r="A51" s="16" t="s">
        <v>52</v>
      </c>
      <c r="B51" s="17">
        <v>1.0</v>
      </c>
      <c r="C51" s="18"/>
      <c r="D51" s="19">
        <v>1.0</v>
      </c>
    </row>
    <row r="52" ht="15.0" customHeight="1">
      <c r="A52" s="16" t="s">
        <v>53</v>
      </c>
      <c r="B52" s="17">
        <v>2.0</v>
      </c>
      <c r="C52" s="18"/>
      <c r="D52" s="19">
        <v>2.0</v>
      </c>
    </row>
    <row r="53" ht="15.0" customHeight="1">
      <c r="A53" s="16" t="s">
        <v>54</v>
      </c>
      <c r="B53" s="17">
        <v>1.0</v>
      </c>
      <c r="C53" s="18"/>
      <c r="D53" s="19">
        <v>1.0</v>
      </c>
    </row>
    <row r="54" ht="15.0" customHeight="1">
      <c r="A54" s="16" t="s">
        <v>55</v>
      </c>
      <c r="B54" s="17">
        <v>1.0</v>
      </c>
      <c r="C54" s="18"/>
      <c r="D54" s="19">
        <v>1.0</v>
      </c>
    </row>
    <row r="55" ht="18.0" customHeight="1">
      <c r="A55" s="13" t="s">
        <v>56</v>
      </c>
      <c r="B55" s="14">
        <f>SUM(B56:B60)</f>
        <v>8</v>
      </c>
      <c r="C55" s="13"/>
      <c r="D55" s="15">
        <f>SUM(D56:D60)</f>
        <v>8</v>
      </c>
    </row>
    <row r="56" ht="15.0" customHeight="1">
      <c r="A56" s="16" t="s">
        <v>57</v>
      </c>
      <c r="B56" s="17">
        <v>1.0</v>
      </c>
      <c r="C56" s="18"/>
      <c r="D56" s="19">
        <v>1.0</v>
      </c>
    </row>
    <row r="57" ht="15.0" customHeight="1">
      <c r="A57" s="16" t="s">
        <v>58</v>
      </c>
      <c r="B57" s="17">
        <v>2.0</v>
      </c>
      <c r="C57" s="18"/>
      <c r="D57" s="19">
        <v>2.0</v>
      </c>
    </row>
    <row r="58" ht="15.0" customHeight="1">
      <c r="A58" s="16" t="s">
        <v>59</v>
      </c>
      <c r="B58" s="17">
        <v>2.0</v>
      </c>
      <c r="C58" s="18"/>
      <c r="D58" s="19">
        <v>2.0</v>
      </c>
    </row>
    <row r="59" ht="15.0" customHeight="1">
      <c r="A59" s="16" t="s">
        <v>60</v>
      </c>
      <c r="B59" s="17">
        <v>2.0</v>
      </c>
      <c r="C59" s="18"/>
      <c r="D59" s="19">
        <v>2.0</v>
      </c>
    </row>
    <row r="60" ht="15.0" customHeight="1">
      <c r="A60" s="16" t="s">
        <v>61</v>
      </c>
      <c r="B60" s="17">
        <v>1.0</v>
      </c>
      <c r="C60" s="18"/>
      <c r="D60" s="19">
        <v>1.0</v>
      </c>
    </row>
    <row r="61" ht="18.0" customHeight="1">
      <c r="A61" s="13" t="s">
        <v>62</v>
      </c>
      <c r="B61" s="14">
        <f>SUM(B62:B66)</f>
        <v>8</v>
      </c>
      <c r="C61" s="13"/>
      <c r="D61" s="15">
        <f>SUM(D62:D66)</f>
        <v>8</v>
      </c>
    </row>
    <row r="62" ht="15.0" customHeight="1">
      <c r="A62" s="16" t="s">
        <v>63</v>
      </c>
      <c r="B62" s="17">
        <v>2.0</v>
      </c>
      <c r="C62" s="18"/>
      <c r="D62" s="19">
        <v>2.0</v>
      </c>
    </row>
    <row r="63" ht="15.0" customHeight="1">
      <c r="A63" s="16" t="s">
        <v>64</v>
      </c>
      <c r="B63" s="17">
        <v>2.0</v>
      </c>
      <c r="C63" s="18"/>
      <c r="D63" s="19">
        <v>2.0</v>
      </c>
    </row>
    <row r="64" ht="15.0" customHeight="1">
      <c r="A64" s="16" t="s">
        <v>65</v>
      </c>
      <c r="B64" s="17">
        <v>1.0</v>
      </c>
      <c r="C64" s="18"/>
      <c r="D64" s="19">
        <v>1.0</v>
      </c>
    </row>
    <row r="65" ht="15.0" customHeight="1">
      <c r="A65" s="16" t="s">
        <v>66</v>
      </c>
      <c r="B65" s="17">
        <v>2.0</v>
      </c>
      <c r="C65" s="18"/>
      <c r="D65" s="19">
        <v>2.0</v>
      </c>
    </row>
    <row r="66" ht="15.0" customHeight="1">
      <c r="A66" s="16" t="s">
        <v>67</v>
      </c>
      <c r="B66" s="17">
        <v>1.0</v>
      </c>
      <c r="C66" s="18"/>
      <c r="D66" s="19">
        <v>1.0</v>
      </c>
    </row>
    <row r="67" ht="18.0" customHeight="1">
      <c r="A67" s="13" t="s">
        <v>68</v>
      </c>
      <c r="B67" s="14">
        <f>SUM(B68:B71)</f>
        <v>5</v>
      </c>
      <c r="C67" s="13"/>
      <c r="D67" s="15">
        <f>SUM(D68:D71)</f>
        <v>5</v>
      </c>
    </row>
    <row r="68" ht="15.0" customHeight="1">
      <c r="A68" s="16" t="s">
        <v>69</v>
      </c>
      <c r="B68" s="17">
        <v>1.0</v>
      </c>
      <c r="C68" s="18"/>
      <c r="D68" s="19">
        <v>1.0</v>
      </c>
    </row>
    <row r="69" ht="15.0" customHeight="1">
      <c r="A69" s="16" t="s">
        <v>70</v>
      </c>
      <c r="B69" s="17">
        <v>2.0</v>
      </c>
      <c r="C69" s="18"/>
      <c r="D69" s="19">
        <v>2.0</v>
      </c>
    </row>
    <row r="70" ht="15.0" customHeight="1">
      <c r="A70" s="16" t="s">
        <v>71</v>
      </c>
      <c r="B70" s="17">
        <v>1.0</v>
      </c>
      <c r="C70" s="18"/>
      <c r="D70" s="19">
        <v>1.0</v>
      </c>
    </row>
    <row r="71" ht="15.0" customHeight="1">
      <c r="A71" s="16" t="s">
        <v>72</v>
      </c>
      <c r="B71" s="17">
        <v>1.0</v>
      </c>
      <c r="C71" s="18"/>
      <c r="D71" s="19">
        <v>1.0</v>
      </c>
    </row>
    <row r="72" ht="18.0" customHeight="1">
      <c r="A72" s="13" t="s">
        <v>73</v>
      </c>
      <c r="B72" s="14">
        <f>SUM(B73:B77)</f>
        <v>8</v>
      </c>
      <c r="C72" s="13"/>
      <c r="D72" s="15">
        <f>SUM(D73:D77)</f>
        <v>8</v>
      </c>
    </row>
    <row r="73" ht="15.0" customHeight="1">
      <c r="A73" s="16" t="s">
        <v>74</v>
      </c>
      <c r="B73" s="17">
        <v>2.0</v>
      </c>
      <c r="C73" s="18"/>
      <c r="D73" s="19">
        <v>2.0</v>
      </c>
    </row>
    <row r="74" ht="15.0" customHeight="1">
      <c r="A74" s="16" t="s">
        <v>75</v>
      </c>
      <c r="B74" s="17">
        <v>2.0</v>
      </c>
      <c r="C74" s="18"/>
      <c r="D74" s="19">
        <v>2.0</v>
      </c>
    </row>
    <row r="75" ht="15.0" customHeight="1">
      <c r="A75" s="16" t="s">
        <v>76</v>
      </c>
      <c r="B75" s="17">
        <v>1.0</v>
      </c>
      <c r="C75" s="18"/>
      <c r="D75" s="19">
        <v>1.0</v>
      </c>
    </row>
    <row r="76" ht="15.0" customHeight="1">
      <c r="A76" s="16" t="s">
        <v>77</v>
      </c>
      <c r="B76" s="17">
        <v>2.0</v>
      </c>
      <c r="C76" s="18"/>
      <c r="D76" s="19">
        <v>2.0</v>
      </c>
    </row>
    <row r="77" ht="15.0" customHeight="1">
      <c r="A77" s="16" t="s">
        <v>78</v>
      </c>
      <c r="B77" s="17">
        <v>1.0</v>
      </c>
      <c r="C77" s="18"/>
      <c r="D77" s="19">
        <v>1.0</v>
      </c>
    </row>
    <row r="78" ht="18.0" customHeight="1">
      <c r="A78" s="13" t="s">
        <v>79</v>
      </c>
      <c r="B78" s="14">
        <f>SUM(B79:B82)</f>
        <v>6</v>
      </c>
      <c r="C78" s="13"/>
      <c r="D78" s="15">
        <f>SUM(D79:D82)</f>
        <v>6</v>
      </c>
    </row>
    <row r="79" ht="15.0" customHeight="1">
      <c r="A79" s="16" t="s">
        <v>80</v>
      </c>
      <c r="B79" s="17">
        <v>2.0</v>
      </c>
      <c r="C79" s="18"/>
      <c r="D79" s="19">
        <v>2.0</v>
      </c>
    </row>
    <row r="80" ht="15.0" customHeight="1">
      <c r="A80" s="16" t="s">
        <v>81</v>
      </c>
      <c r="B80" s="17">
        <v>1.0</v>
      </c>
      <c r="C80" s="18"/>
      <c r="D80" s="19">
        <v>1.0</v>
      </c>
    </row>
    <row r="81" ht="15.0" customHeight="1">
      <c r="A81" s="16" t="s">
        <v>82</v>
      </c>
      <c r="B81" s="17">
        <v>2.0</v>
      </c>
      <c r="C81" s="18"/>
      <c r="D81" s="19">
        <v>2.0</v>
      </c>
    </row>
    <row r="82" ht="15.0" customHeight="1">
      <c r="A82" s="16" t="s">
        <v>83</v>
      </c>
      <c r="B82" s="17">
        <v>1.0</v>
      </c>
      <c r="C82" s="18"/>
      <c r="D82" s="19">
        <v>1.0</v>
      </c>
    </row>
    <row r="83" ht="19.5" customHeight="1">
      <c r="A83" s="10" t="s">
        <v>84</v>
      </c>
      <c r="B83" s="11">
        <f>B84+B87</f>
        <v>20</v>
      </c>
      <c r="C83" s="10"/>
      <c r="D83" s="12">
        <f>D84+D87</f>
        <v>11.25</v>
      </c>
    </row>
    <row r="84" ht="18.0" customHeight="1">
      <c r="A84" s="13" t="s">
        <v>85</v>
      </c>
      <c r="B84" s="14">
        <f>SUM(B85:B86)</f>
        <v>5</v>
      </c>
      <c r="C84" s="13"/>
      <c r="D84" s="15">
        <f>SUM(D85:D86)</f>
        <v>3.75</v>
      </c>
    </row>
    <row r="85" ht="15.0" customHeight="1">
      <c r="A85" s="16" t="s">
        <v>86</v>
      </c>
      <c r="B85" s="17">
        <v>2.5</v>
      </c>
      <c r="C85" s="18"/>
      <c r="D85" s="19">
        <v>2.5</v>
      </c>
    </row>
    <row r="86" ht="15.0" customHeight="1">
      <c r="A86" s="16" t="s">
        <v>87</v>
      </c>
      <c r="B86" s="17">
        <v>2.5</v>
      </c>
      <c r="C86" s="18"/>
      <c r="D86" s="19">
        <v>1.25</v>
      </c>
    </row>
    <row r="87" ht="18.0" customHeight="1">
      <c r="A87" s="13" t="s">
        <v>88</v>
      </c>
      <c r="B87" s="14">
        <f>SUM(B88:B90)</f>
        <v>15</v>
      </c>
      <c r="C87" s="13"/>
      <c r="D87" s="15">
        <f>SUM(D88:D90)</f>
        <v>7.5</v>
      </c>
    </row>
    <row r="88" ht="15.0" customHeight="1">
      <c r="A88" s="16" t="s">
        <v>89</v>
      </c>
      <c r="B88" s="17">
        <v>5.0</v>
      </c>
      <c r="C88" s="18"/>
      <c r="D88" s="19">
        <v>2.5</v>
      </c>
    </row>
    <row r="89" ht="15.0" customHeight="1">
      <c r="A89" s="16" t="s">
        <v>90</v>
      </c>
      <c r="B89" s="17">
        <v>5.0</v>
      </c>
      <c r="C89" s="18"/>
      <c r="D89" s="19">
        <v>2.5</v>
      </c>
    </row>
    <row r="90" ht="15.0" customHeight="1">
      <c r="A90" s="16" t="s">
        <v>91</v>
      </c>
      <c r="B90" s="17">
        <v>5.0</v>
      </c>
      <c r="C90" s="18"/>
      <c r="D90" s="19">
        <v>2.5</v>
      </c>
    </row>
    <row r="91" ht="19.5" customHeight="1">
      <c r="A91" s="21" t="s">
        <v>92</v>
      </c>
      <c r="B91" s="22">
        <f>B19+B36+B83</f>
        <v>100</v>
      </c>
      <c r="C91" s="23"/>
      <c r="D91" s="24">
        <f>D19+D36+D83</f>
        <v>87.25</v>
      </c>
    </row>
    <row r="92" ht="15.75" customHeight="1">
      <c r="A92" s="2"/>
      <c r="B92" s="2"/>
      <c r="C92" s="2"/>
      <c r="D92" s="2"/>
    </row>
    <row r="93" ht="15.75" customHeight="1">
      <c r="A93" s="1" t="s">
        <v>93</v>
      </c>
      <c r="B93" s="2"/>
      <c r="C93" s="2"/>
      <c r="D93" s="2"/>
    </row>
    <row r="94" ht="15.75" customHeight="1">
      <c r="A94" s="9" t="s">
        <v>94</v>
      </c>
      <c r="B94" s="9" t="s">
        <v>95</v>
      </c>
      <c r="C94" s="9" t="s">
        <v>18</v>
      </c>
      <c r="D94" s="9"/>
    </row>
    <row r="95" ht="15.75" customHeight="1">
      <c r="A95" s="16" t="s">
        <v>96</v>
      </c>
      <c r="B95" s="25" t="s">
        <v>97</v>
      </c>
      <c r="C95" s="26"/>
      <c r="D95" s="27"/>
    </row>
    <row r="96" ht="15.75" customHeight="1">
      <c r="A96" s="16" t="s">
        <v>98</v>
      </c>
      <c r="B96" s="25" t="s">
        <v>97</v>
      </c>
      <c r="C96" s="26"/>
      <c r="D96" s="27"/>
    </row>
    <row r="97" ht="15.75" customHeight="1">
      <c r="A97" s="16" t="s">
        <v>99</v>
      </c>
      <c r="B97" s="25" t="s">
        <v>97</v>
      </c>
      <c r="C97" s="26"/>
      <c r="D97" s="27"/>
    </row>
    <row r="98" ht="15.75" customHeight="1">
      <c r="A98" s="16" t="s">
        <v>100</v>
      </c>
      <c r="B98" s="25" t="s">
        <v>97</v>
      </c>
      <c r="C98" s="26"/>
      <c r="D98" s="27"/>
    </row>
    <row r="99" ht="15.75" customHeight="1">
      <c r="A99" s="16" t="s">
        <v>101</v>
      </c>
      <c r="B99" s="25" t="s">
        <v>97</v>
      </c>
      <c r="C99" s="26"/>
      <c r="D99" s="27"/>
    </row>
    <row r="100" ht="15.75" customHeight="1">
      <c r="A100" s="16" t="s">
        <v>102</v>
      </c>
      <c r="B100" s="25" t="s">
        <v>97</v>
      </c>
      <c r="C100" s="26"/>
      <c r="D100" s="27"/>
    </row>
    <row r="101" ht="15.75" customHeight="1">
      <c r="A101" s="2"/>
      <c r="B101" s="2"/>
      <c r="C101" s="2"/>
      <c r="D101" s="2"/>
    </row>
    <row r="102" ht="15.75" customHeight="1">
      <c r="A102" s="1" t="s">
        <v>103</v>
      </c>
      <c r="B102" s="2"/>
      <c r="C102" s="2"/>
      <c r="D102" s="2"/>
    </row>
    <row r="103" ht="15.75" customHeight="1">
      <c r="A103" s="9" t="s">
        <v>104</v>
      </c>
      <c r="B103" s="9" t="s">
        <v>105</v>
      </c>
      <c r="C103" s="9" t="s">
        <v>106</v>
      </c>
      <c r="D103" s="9" t="s">
        <v>107</v>
      </c>
    </row>
    <row r="104" ht="15.75" customHeight="1">
      <c r="A104" s="16" t="s">
        <v>108</v>
      </c>
      <c r="B104" s="28">
        <v>-0.3</v>
      </c>
      <c r="C104" s="25" t="s">
        <v>109</v>
      </c>
      <c r="D104" s="29">
        <f t="shared" ref="D104:D118" si="1">IF(C104="Sí",$D$91*B104,0)</f>
        <v>0</v>
      </c>
    </row>
    <row r="105" ht="15.75" customHeight="1">
      <c r="A105" s="16" t="s">
        <v>110</v>
      </c>
      <c r="B105" s="28">
        <v>-0.2</v>
      </c>
      <c r="C105" s="25" t="s">
        <v>109</v>
      </c>
      <c r="D105" s="29">
        <f t="shared" si="1"/>
        <v>0</v>
      </c>
    </row>
    <row r="106" ht="15.75" customHeight="1">
      <c r="A106" s="16" t="s">
        <v>111</v>
      </c>
      <c r="B106" s="28">
        <v>-1.0</v>
      </c>
      <c r="C106" s="25" t="s">
        <v>109</v>
      </c>
      <c r="D106" s="29">
        <f t="shared" si="1"/>
        <v>0</v>
      </c>
    </row>
    <row r="107" ht="15.75" customHeight="1">
      <c r="A107" s="16" t="s">
        <v>112</v>
      </c>
      <c r="B107" s="28">
        <v>-1.0</v>
      </c>
      <c r="C107" s="25" t="s">
        <v>109</v>
      </c>
      <c r="D107" s="29">
        <f t="shared" si="1"/>
        <v>0</v>
      </c>
    </row>
    <row r="108" ht="15.75" customHeight="1">
      <c r="A108" s="16" t="s">
        <v>113</v>
      </c>
      <c r="B108" s="28">
        <v>-0.75</v>
      </c>
      <c r="C108" s="25" t="s">
        <v>109</v>
      </c>
      <c r="D108" s="29">
        <f t="shared" si="1"/>
        <v>0</v>
      </c>
    </row>
    <row r="109" ht="15.75" customHeight="1">
      <c r="A109" s="16" t="s">
        <v>114</v>
      </c>
      <c r="B109" s="28">
        <v>-0.75</v>
      </c>
      <c r="C109" s="25" t="s">
        <v>109</v>
      </c>
      <c r="D109" s="29">
        <f t="shared" si="1"/>
        <v>0</v>
      </c>
    </row>
    <row r="110" ht="15.75" customHeight="1">
      <c r="A110" s="16" t="s">
        <v>115</v>
      </c>
      <c r="B110" s="28">
        <v>-0.9</v>
      </c>
      <c r="C110" s="25" t="s">
        <v>109</v>
      </c>
      <c r="D110" s="29">
        <f t="shared" si="1"/>
        <v>0</v>
      </c>
    </row>
    <row r="111" ht="15.75" customHeight="1">
      <c r="A111" s="16" t="s">
        <v>116</v>
      </c>
      <c r="B111" s="28">
        <v>-0.5</v>
      </c>
      <c r="C111" s="25" t="s">
        <v>109</v>
      </c>
      <c r="D111" s="29">
        <f t="shared" si="1"/>
        <v>0</v>
      </c>
    </row>
    <row r="112" ht="15.75" customHeight="1">
      <c r="A112" s="16" t="s">
        <v>117</v>
      </c>
      <c r="B112" s="28">
        <v>-0.5</v>
      </c>
      <c r="C112" s="25" t="s">
        <v>109</v>
      </c>
      <c r="D112" s="29">
        <f t="shared" si="1"/>
        <v>0</v>
      </c>
    </row>
    <row r="113" ht="15.75" customHeight="1">
      <c r="A113" s="16" t="s">
        <v>118</v>
      </c>
      <c r="B113" s="28">
        <v>-1.0</v>
      </c>
      <c r="C113" s="25" t="s">
        <v>109</v>
      </c>
      <c r="D113" s="29">
        <f t="shared" si="1"/>
        <v>0</v>
      </c>
    </row>
    <row r="114" ht="15.75" customHeight="1">
      <c r="A114" s="16" t="s">
        <v>119</v>
      </c>
      <c r="B114" s="28">
        <v>-0.25</v>
      </c>
      <c r="C114" s="25" t="s">
        <v>109</v>
      </c>
      <c r="D114" s="29">
        <f t="shared" si="1"/>
        <v>0</v>
      </c>
    </row>
    <row r="115" ht="15.75" customHeight="1">
      <c r="A115" s="16" t="s">
        <v>120</v>
      </c>
      <c r="B115" s="28">
        <v>-1.0</v>
      </c>
      <c r="C115" s="25" t="s">
        <v>109</v>
      </c>
      <c r="D115" s="29">
        <f t="shared" si="1"/>
        <v>0</v>
      </c>
    </row>
    <row r="116" ht="15.75" customHeight="1">
      <c r="A116" s="16" t="s">
        <v>121</v>
      </c>
      <c r="B116" s="28">
        <v>-1.0</v>
      </c>
      <c r="C116" s="25" t="s">
        <v>109</v>
      </c>
      <c r="D116" s="29">
        <f t="shared" si="1"/>
        <v>0</v>
      </c>
    </row>
    <row r="117" ht="15.75" customHeight="1">
      <c r="A117" s="16" t="s">
        <v>122</v>
      </c>
      <c r="B117" s="28">
        <v>-0.5</v>
      </c>
      <c r="C117" s="25" t="s">
        <v>109</v>
      </c>
      <c r="D117" s="29">
        <f t="shared" si="1"/>
        <v>0</v>
      </c>
    </row>
    <row r="118" ht="15.75" customHeight="1">
      <c r="A118" s="16" t="s">
        <v>123</v>
      </c>
      <c r="B118" s="28">
        <v>-1.0</v>
      </c>
      <c r="C118" s="25" t="s">
        <v>109</v>
      </c>
      <c r="D118" s="29">
        <f t="shared" si="1"/>
        <v>0</v>
      </c>
    </row>
    <row r="119" ht="15.75" customHeight="1">
      <c r="A119" s="21" t="s">
        <v>124</v>
      </c>
      <c r="B119" s="23"/>
      <c r="C119" s="23"/>
      <c r="D119" s="24">
        <f>SUM(D104:D118)</f>
        <v>0</v>
      </c>
    </row>
    <row r="120" ht="15.75" customHeight="1">
      <c r="A120" s="2"/>
      <c r="B120" s="2"/>
      <c r="C120" s="2"/>
      <c r="D120" s="2"/>
    </row>
    <row r="121" ht="21.75" customHeight="1">
      <c r="A121" s="31" t="s">
        <v>125</v>
      </c>
      <c r="B121" s="32"/>
      <c r="C121" s="32"/>
      <c r="D121" s="33">
        <f>MAX(0,ROUND($D$91+$D$119,2))</f>
        <v>87.25</v>
      </c>
    </row>
    <row r="122" ht="15.75" customHeight="1">
      <c r="A122" s="2"/>
      <c r="B122" s="2"/>
      <c r="C122" s="2"/>
      <c r="D122" s="2"/>
    </row>
    <row r="123" ht="15.75" customHeight="1">
      <c r="A123" s="4" t="s">
        <v>126</v>
      </c>
      <c r="B123" s="2"/>
      <c r="C123" s="2"/>
      <c r="D123" s="2"/>
    </row>
    <row r="124" ht="18.0" customHeight="1">
      <c r="A124" s="34"/>
      <c r="B124" s="35"/>
      <c r="C124" s="35"/>
      <c r="D124" s="36"/>
    </row>
    <row r="125" ht="18.0" customHeight="1">
      <c r="A125" s="34"/>
      <c r="B125" s="35"/>
      <c r="C125" s="35"/>
      <c r="D125" s="36"/>
    </row>
    <row r="126" ht="18.0" customHeight="1">
      <c r="A126" s="34"/>
      <c r="B126" s="35"/>
      <c r="C126" s="35"/>
      <c r="D126" s="36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37" t="s">
        <v>127</v>
      </c>
      <c r="B129" s="2"/>
      <c r="C129" s="37" t="s">
        <v>127</v>
      </c>
      <c r="D129" s="2"/>
    </row>
    <row r="130" ht="15.75" customHeight="1">
      <c r="A130" s="37" t="s">
        <v>128</v>
      </c>
      <c r="B130" s="2"/>
      <c r="C130" s="37" t="s">
        <v>129</v>
      </c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mergeCells count="6">
    <mergeCell ref="A14:D14"/>
    <mergeCell ref="A15:D15"/>
    <mergeCell ref="A16:D16"/>
    <mergeCell ref="A124:D124"/>
    <mergeCell ref="A125:D125"/>
    <mergeCell ref="A126:D126"/>
  </mergeCells>
  <conditionalFormatting sqref="D19:D90">
    <cfRule type="cellIs" dxfId="0" priority="1" operator="greaterThan">
      <formula>B19</formula>
    </cfRule>
  </conditionalFormatting>
  <dataValidations>
    <dataValidation type="list" allowBlank="1" sqref="B95:B100 C104:C118">
      <formula1>"Sí,No"</formula1>
    </dataValidation>
  </dataValidations>
  <printOptions horizontalCentered="1"/>
  <pageMargins bottom="1.0" footer="0.0" header="0.0" left="0.75" right="0.75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8.0" topLeftCell="A19" activePane="bottomLeft" state="frozen"/>
      <selection activeCell="B20" sqref="B20" pane="bottomLeft"/>
    </sheetView>
  </sheetViews>
  <sheetFormatPr customHeight="1" defaultColWidth="14.43" defaultRowHeight="15.0"/>
  <cols>
    <col customWidth="1" min="1" max="1" width="78.0"/>
    <col customWidth="1" min="2" max="2" width="11.0"/>
    <col customWidth="1" min="3" max="3" width="34.0"/>
    <col customWidth="1" min="4" max="4" width="11.0"/>
    <col customWidth="1" min="5" max="26" width="8.71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3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2"/>
      <c r="B7" s="2"/>
      <c r="C7" s="2"/>
      <c r="D7" s="2"/>
    </row>
    <row r="8">
      <c r="A8" s="3" t="s">
        <v>6</v>
      </c>
      <c r="B8" s="2"/>
      <c r="C8" s="2"/>
      <c r="D8" s="2"/>
    </row>
    <row r="9">
      <c r="A9" s="2"/>
      <c r="B9" s="2"/>
      <c r="C9" s="2"/>
      <c r="D9" s="2"/>
    </row>
    <row r="10">
      <c r="A10" s="4" t="s">
        <v>7</v>
      </c>
      <c r="B10" s="5"/>
      <c r="C10" s="2"/>
      <c r="D10" s="2"/>
    </row>
    <row r="11">
      <c r="A11" s="4" t="s">
        <v>8</v>
      </c>
      <c r="B11" s="6" t="s">
        <v>131</v>
      </c>
      <c r="C11" s="2"/>
      <c r="D11" s="2"/>
    </row>
    <row r="12">
      <c r="A12" s="4" t="s">
        <v>10</v>
      </c>
      <c r="B12" s="6">
        <v>2.02398203E8</v>
      </c>
      <c r="C12" s="2"/>
      <c r="D12" s="2"/>
    </row>
    <row r="13">
      <c r="A13" s="2"/>
      <c r="B13" s="2"/>
      <c r="C13" s="2"/>
      <c r="D13" s="2"/>
    </row>
    <row r="14" ht="25.5" customHeight="1">
      <c r="A14" s="8" t="s">
        <v>12</v>
      </c>
    </row>
    <row r="15" ht="25.5" customHeight="1">
      <c r="A15" s="8" t="s">
        <v>14</v>
      </c>
    </row>
    <row r="16" ht="25.5" customHeight="1">
      <c r="A16" s="8" t="s">
        <v>15</v>
      </c>
    </row>
    <row r="17">
      <c r="A17" s="2"/>
      <c r="B17" s="2"/>
      <c r="C17" s="2"/>
      <c r="D17" s="2"/>
    </row>
    <row r="18" ht="19.5" customHeight="1">
      <c r="A18" s="9" t="s">
        <v>16</v>
      </c>
      <c r="B18" s="9" t="s">
        <v>17</v>
      </c>
      <c r="C18" s="9" t="s">
        <v>18</v>
      </c>
      <c r="D18" s="9" t="s">
        <v>19</v>
      </c>
    </row>
    <row r="19" ht="19.5" customHeight="1">
      <c r="A19" s="10" t="s">
        <v>20</v>
      </c>
      <c r="B19" s="11">
        <f>B20+B25+B30</f>
        <v>25</v>
      </c>
      <c r="C19" s="10"/>
      <c r="D19" s="12">
        <f>D20+D25+D30</f>
        <v>25</v>
      </c>
    </row>
    <row r="20" ht="18.0" customHeight="1">
      <c r="A20" s="13" t="s">
        <v>21</v>
      </c>
      <c r="B20" s="14">
        <f>SUM(B21:B24)</f>
        <v>10</v>
      </c>
      <c r="C20" s="13"/>
      <c r="D20" s="15">
        <f>SUM(D21:D24)</f>
        <v>10</v>
      </c>
    </row>
    <row r="21" ht="15.0" customHeight="1">
      <c r="A21" s="16" t="s">
        <v>22</v>
      </c>
      <c r="B21" s="17">
        <v>3.0</v>
      </c>
      <c r="C21" s="18"/>
      <c r="D21" s="19">
        <v>3.0</v>
      </c>
    </row>
    <row r="22" ht="15.0" customHeight="1">
      <c r="A22" s="16" t="s">
        <v>23</v>
      </c>
      <c r="B22" s="17">
        <v>3.0</v>
      </c>
      <c r="C22" s="18"/>
      <c r="D22" s="19">
        <v>3.0</v>
      </c>
    </row>
    <row r="23" ht="15.0" customHeight="1">
      <c r="A23" s="16" t="s">
        <v>24</v>
      </c>
      <c r="B23" s="17">
        <v>2.0</v>
      </c>
      <c r="C23" s="18"/>
      <c r="D23" s="19">
        <v>2.0</v>
      </c>
    </row>
    <row r="24" ht="15.0" customHeight="1">
      <c r="A24" s="16" t="s">
        <v>25</v>
      </c>
      <c r="B24" s="17">
        <v>2.0</v>
      </c>
      <c r="C24" s="18"/>
      <c r="D24" s="19">
        <v>2.0</v>
      </c>
    </row>
    <row r="25" ht="18.0" customHeight="1">
      <c r="A25" s="13" t="s">
        <v>26</v>
      </c>
      <c r="B25" s="14">
        <f>SUM(B26:B29)</f>
        <v>10</v>
      </c>
      <c r="C25" s="13"/>
      <c r="D25" s="15">
        <f>SUM(D26:D29)</f>
        <v>10</v>
      </c>
    </row>
    <row r="26" ht="15.0" customHeight="1">
      <c r="A26" s="16" t="s">
        <v>27</v>
      </c>
      <c r="B26" s="17">
        <v>4.0</v>
      </c>
      <c r="C26" s="18"/>
      <c r="D26" s="19">
        <v>4.0</v>
      </c>
    </row>
    <row r="27" ht="15.0" customHeight="1">
      <c r="A27" s="16" t="s">
        <v>28</v>
      </c>
      <c r="B27" s="17">
        <v>2.0</v>
      </c>
      <c r="C27" s="18"/>
      <c r="D27" s="19">
        <v>2.0</v>
      </c>
    </row>
    <row r="28" ht="15.0" customHeight="1">
      <c r="A28" s="16" t="s">
        <v>29</v>
      </c>
      <c r="B28" s="17">
        <v>3.0</v>
      </c>
      <c r="C28" s="18"/>
      <c r="D28" s="19">
        <v>3.0</v>
      </c>
    </row>
    <row r="29" ht="15.0" customHeight="1">
      <c r="A29" s="16" t="s">
        <v>30</v>
      </c>
      <c r="B29" s="17">
        <v>1.0</v>
      </c>
      <c r="C29" s="18"/>
      <c r="D29" s="19">
        <v>1.0</v>
      </c>
    </row>
    <row r="30" ht="18.0" customHeight="1">
      <c r="A30" s="13" t="s">
        <v>31</v>
      </c>
      <c r="B30" s="14">
        <f>SUM(B31:B35)</f>
        <v>5</v>
      </c>
      <c r="C30" s="13"/>
      <c r="D30" s="15">
        <f>SUM(D31:D35)</f>
        <v>5</v>
      </c>
    </row>
    <row r="31" ht="15.0" customHeight="1">
      <c r="A31" s="16" t="s">
        <v>32</v>
      </c>
      <c r="B31" s="17">
        <v>1.0</v>
      </c>
      <c r="C31" s="18"/>
      <c r="D31" s="19">
        <v>1.0</v>
      </c>
    </row>
    <row r="32" ht="15.0" customHeight="1">
      <c r="A32" s="16" t="s">
        <v>33</v>
      </c>
      <c r="B32" s="17">
        <v>1.0</v>
      </c>
      <c r="C32" s="18"/>
      <c r="D32" s="19">
        <v>1.0</v>
      </c>
    </row>
    <row r="33" ht="15.0" customHeight="1">
      <c r="A33" s="16" t="s">
        <v>34</v>
      </c>
      <c r="B33" s="17">
        <v>1.0</v>
      </c>
      <c r="C33" s="18"/>
      <c r="D33" s="19">
        <v>1.0</v>
      </c>
    </row>
    <row r="34" ht="15.0" customHeight="1">
      <c r="A34" s="16" t="s">
        <v>35</v>
      </c>
      <c r="B34" s="17">
        <v>1.0</v>
      </c>
      <c r="C34" s="18"/>
      <c r="D34" s="19">
        <v>1.0</v>
      </c>
    </row>
    <row r="35" ht="15.0" customHeight="1">
      <c r="A35" s="16" t="s">
        <v>36</v>
      </c>
      <c r="B35" s="17">
        <v>1.0</v>
      </c>
      <c r="C35" s="18"/>
      <c r="D35" s="19">
        <v>1.0</v>
      </c>
    </row>
    <row r="36" ht="19.5" customHeight="1">
      <c r="A36" s="10" t="s">
        <v>37</v>
      </c>
      <c r="B36" s="11">
        <f>B37+B43+B55+B61+B67+B72+B78</f>
        <v>55</v>
      </c>
      <c r="C36" s="10"/>
      <c r="D36" s="12">
        <f>D37+D43+D55+D61+D67+D72+D78</f>
        <v>55</v>
      </c>
    </row>
    <row r="37" ht="18.0" customHeight="1">
      <c r="A37" s="13" t="s">
        <v>38</v>
      </c>
      <c r="B37" s="14">
        <f>SUM(B38:B42)</f>
        <v>5</v>
      </c>
      <c r="C37" s="13"/>
      <c r="D37" s="15">
        <f>SUM(D38:D42)</f>
        <v>5</v>
      </c>
    </row>
    <row r="38" ht="15.0" customHeight="1">
      <c r="A38" s="16" t="s">
        <v>39</v>
      </c>
      <c r="B38" s="17">
        <v>1.0</v>
      </c>
      <c r="C38" s="18"/>
      <c r="D38" s="19">
        <v>1.0</v>
      </c>
    </row>
    <row r="39" ht="15.0" customHeight="1">
      <c r="A39" s="16" t="s">
        <v>40</v>
      </c>
      <c r="B39" s="17">
        <v>1.0</v>
      </c>
      <c r="C39" s="18"/>
      <c r="D39" s="19">
        <v>1.0</v>
      </c>
    </row>
    <row r="40" ht="15.0" customHeight="1">
      <c r="A40" s="16" t="s">
        <v>41</v>
      </c>
      <c r="B40" s="17">
        <v>1.0</v>
      </c>
      <c r="C40" s="18"/>
      <c r="D40" s="19">
        <v>1.0</v>
      </c>
    </row>
    <row r="41" ht="15.0" customHeight="1">
      <c r="A41" s="16" t="s">
        <v>42</v>
      </c>
      <c r="B41" s="17">
        <v>1.0</v>
      </c>
      <c r="C41" s="18"/>
      <c r="D41" s="19">
        <v>1.0</v>
      </c>
    </row>
    <row r="42" ht="15.0" customHeight="1">
      <c r="A42" s="16" t="s">
        <v>43</v>
      </c>
      <c r="B42" s="17">
        <v>1.0</v>
      </c>
      <c r="C42" s="18"/>
      <c r="D42" s="19">
        <v>1.0</v>
      </c>
    </row>
    <row r="43" ht="18.0" customHeight="1">
      <c r="A43" s="13" t="s">
        <v>44</v>
      </c>
      <c r="B43" s="14">
        <f>SUM(B44:B54)</f>
        <v>15</v>
      </c>
      <c r="C43" s="13"/>
      <c r="D43" s="15">
        <f>SUM(D44:D54)</f>
        <v>15</v>
      </c>
    </row>
    <row r="44" ht="15.0" customHeight="1">
      <c r="A44" s="16" t="s">
        <v>45</v>
      </c>
      <c r="B44" s="17">
        <v>2.0</v>
      </c>
      <c r="C44" s="18"/>
      <c r="D44" s="19">
        <v>2.0</v>
      </c>
    </row>
    <row r="45" ht="15.0" customHeight="1">
      <c r="A45" s="16" t="s">
        <v>46</v>
      </c>
      <c r="B45" s="17">
        <v>1.0</v>
      </c>
      <c r="C45" s="18"/>
      <c r="D45" s="19">
        <v>1.0</v>
      </c>
    </row>
    <row r="46" ht="15.0" customHeight="1">
      <c r="A46" s="16" t="s">
        <v>47</v>
      </c>
      <c r="B46" s="17">
        <v>1.0</v>
      </c>
      <c r="C46" s="18"/>
      <c r="D46" s="19">
        <v>1.0</v>
      </c>
    </row>
    <row r="47" ht="15.0" customHeight="1">
      <c r="A47" s="16" t="s">
        <v>48</v>
      </c>
      <c r="B47" s="17">
        <v>1.0</v>
      </c>
      <c r="C47" s="18"/>
      <c r="D47" s="19">
        <v>1.0</v>
      </c>
    </row>
    <row r="48" ht="15.0" customHeight="1">
      <c r="A48" s="16" t="s">
        <v>49</v>
      </c>
      <c r="B48" s="17">
        <v>2.0</v>
      </c>
      <c r="C48" s="18"/>
      <c r="D48" s="19">
        <v>2.0</v>
      </c>
    </row>
    <row r="49" ht="15.0" customHeight="1">
      <c r="A49" s="16" t="s">
        <v>50</v>
      </c>
      <c r="B49" s="17">
        <v>2.0</v>
      </c>
      <c r="C49" s="18"/>
      <c r="D49" s="19">
        <v>2.0</v>
      </c>
    </row>
    <row r="50" ht="15.0" customHeight="1">
      <c r="A50" s="16" t="s">
        <v>51</v>
      </c>
      <c r="B50" s="17">
        <v>1.0</v>
      </c>
      <c r="C50" s="18"/>
      <c r="D50" s="19">
        <v>1.0</v>
      </c>
    </row>
    <row r="51" ht="15.0" customHeight="1">
      <c r="A51" s="16" t="s">
        <v>52</v>
      </c>
      <c r="B51" s="17">
        <v>1.0</v>
      </c>
      <c r="C51" s="18"/>
      <c r="D51" s="19">
        <v>1.0</v>
      </c>
    </row>
    <row r="52" ht="15.0" customHeight="1">
      <c r="A52" s="16" t="s">
        <v>53</v>
      </c>
      <c r="B52" s="17">
        <v>2.0</v>
      </c>
      <c r="C52" s="18"/>
      <c r="D52" s="19">
        <v>2.0</v>
      </c>
    </row>
    <row r="53" ht="15.0" customHeight="1">
      <c r="A53" s="16" t="s">
        <v>54</v>
      </c>
      <c r="B53" s="17">
        <v>1.0</v>
      </c>
      <c r="C53" s="18"/>
      <c r="D53" s="19">
        <v>1.0</v>
      </c>
    </row>
    <row r="54" ht="15.0" customHeight="1">
      <c r="A54" s="16" t="s">
        <v>55</v>
      </c>
      <c r="B54" s="17">
        <v>1.0</v>
      </c>
      <c r="C54" s="18"/>
      <c r="D54" s="19">
        <v>1.0</v>
      </c>
    </row>
    <row r="55" ht="18.0" customHeight="1">
      <c r="A55" s="13" t="s">
        <v>56</v>
      </c>
      <c r="B55" s="14">
        <f>SUM(B56:B60)</f>
        <v>8</v>
      </c>
      <c r="C55" s="13"/>
      <c r="D55" s="15">
        <f>SUM(D56:D60)</f>
        <v>8</v>
      </c>
    </row>
    <row r="56" ht="15.0" customHeight="1">
      <c r="A56" s="16" t="s">
        <v>57</v>
      </c>
      <c r="B56" s="17">
        <v>1.0</v>
      </c>
      <c r="C56" s="18"/>
      <c r="D56" s="19">
        <v>1.0</v>
      </c>
    </row>
    <row r="57" ht="15.0" customHeight="1">
      <c r="A57" s="16" t="s">
        <v>58</v>
      </c>
      <c r="B57" s="17">
        <v>2.0</v>
      </c>
      <c r="C57" s="18"/>
      <c r="D57" s="19">
        <v>2.0</v>
      </c>
    </row>
    <row r="58" ht="15.0" customHeight="1">
      <c r="A58" s="16" t="s">
        <v>59</v>
      </c>
      <c r="B58" s="17">
        <v>2.0</v>
      </c>
      <c r="C58" s="18"/>
      <c r="D58" s="19">
        <v>2.0</v>
      </c>
    </row>
    <row r="59" ht="15.0" customHeight="1">
      <c r="A59" s="16" t="s">
        <v>60</v>
      </c>
      <c r="B59" s="17">
        <v>2.0</v>
      </c>
      <c r="C59" s="18"/>
      <c r="D59" s="19">
        <v>2.0</v>
      </c>
    </row>
    <row r="60" ht="15.0" customHeight="1">
      <c r="A60" s="16" t="s">
        <v>61</v>
      </c>
      <c r="B60" s="17">
        <v>1.0</v>
      </c>
      <c r="C60" s="18"/>
      <c r="D60" s="19">
        <v>1.0</v>
      </c>
    </row>
    <row r="61" ht="18.0" customHeight="1">
      <c r="A61" s="13" t="s">
        <v>62</v>
      </c>
      <c r="B61" s="14">
        <f>SUM(B62:B66)</f>
        <v>8</v>
      </c>
      <c r="C61" s="13"/>
      <c r="D61" s="15">
        <f>SUM(D62:D66)</f>
        <v>8</v>
      </c>
    </row>
    <row r="62" ht="15.0" customHeight="1">
      <c r="A62" s="16" t="s">
        <v>63</v>
      </c>
      <c r="B62" s="17">
        <v>2.0</v>
      </c>
      <c r="C62" s="18"/>
      <c r="D62" s="19">
        <v>2.0</v>
      </c>
    </row>
    <row r="63" ht="15.0" customHeight="1">
      <c r="A63" s="16" t="s">
        <v>64</v>
      </c>
      <c r="B63" s="17">
        <v>2.0</v>
      </c>
      <c r="C63" s="18"/>
      <c r="D63" s="19">
        <v>2.0</v>
      </c>
    </row>
    <row r="64" ht="15.0" customHeight="1">
      <c r="A64" s="16" t="s">
        <v>65</v>
      </c>
      <c r="B64" s="17">
        <v>1.0</v>
      </c>
      <c r="C64" s="18"/>
      <c r="D64" s="19">
        <v>1.0</v>
      </c>
    </row>
    <row r="65" ht="15.0" customHeight="1">
      <c r="A65" s="16" t="s">
        <v>66</v>
      </c>
      <c r="B65" s="17">
        <v>2.0</v>
      </c>
      <c r="C65" s="18"/>
      <c r="D65" s="19">
        <v>2.0</v>
      </c>
    </row>
    <row r="66" ht="15.0" customHeight="1">
      <c r="A66" s="16" t="s">
        <v>67</v>
      </c>
      <c r="B66" s="17">
        <v>1.0</v>
      </c>
      <c r="C66" s="18"/>
      <c r="D66" s="19">
        <v>1.0</v>
      </c>
    </row>
    <row r="67" ht="18.0" customHeight="1">
      <c r="A67" s="13" t="s">
        <v>68</v>
      </c>
      <c r="B67" s="14">
        <f>SUM(B68:B71)</f>
        <v>5</v>
      </c>
      <c r="C67" s="13"/>
      <c r="D67" s="15">
        <f>SUM(D68:D71)</f>
        <v>5</v>
      </c>
    </row>
    <row r="68" ht="15.0" customHeight="1">
      <c r="A68" s="16" t="s">
        <v>69</v>
      </c>
      <c r="B68" s="17">
        <v>1.0</v>
      </c>
      <c r="C68" s="18"/>
      <c r="D68" s="19">
        <v>1.0</v>
      </c>
    </row>
    <row r="69" ht="15.0" customHeight="1">
      <c r="A69" s="16" t="s">
        <v>70</v>
      </c>
      <c r="B69" s="17">
        <v>2.0</v>
      </c>
      <c r="C69" s="18"/>
      <c r="D69" s="19">
        <v>2.0</v>
      </c>
    </row>
    <row r="70" ht="15.0" customHeight="1">
      <c r="A70" s="16" t="s">
        <v>71</v>
      </c>
      <c r="B70" s="17">
        <v>1.0</v>
      </c>
      <c r="C70" s="18"/>
      <c r="D70" s="19">
        <v>1.0</v>
      </c>
    </row>
    <row r="71" ht="15.0" customHeight="1">
      <c r="A71" s="16" t="s">
        <v>72</v>
      </c>
      <c r="B71" s="17">
        <v>1.0</v>
      </c>
      <c r="C71" s="18"/>
      <c r="D71" s="19">
        <v>1.0</v>
      </c>
    </row>
    <row r="72" ht="18.0" customHeight="1">
      <c r="A72" s="13" t="s">
        <v>73</v>
      </c>
      <c r="B72" s="14">
        <f>SUM(B73:B77)</f>
        <v>8</v>
      </c>
      <c r="C72" s="13"/>
      <c r="D72" s="15">
        <f>SUM(D73:D77)</f>
        <v>8</v>
      </c>
    </row>
    <row r="73" ht="15.0" customHeight="1">
      <c r="A73" s="16" t="s">
        <v>74</v>
      </c>
      <c r="B73" s="17">
        <v>2.0</v>
      </c>
      <c r="C73" s="18"/>
      <c r="D73" s="19">
        <v>2.0</v>
      </c>
    </row>
    <row r="74" ht="15.0" customHeight="1">
      <c r="A74" s="16" t="s">
        <v>75</v>
      </c>
      <c r="B74" s="17">
        <v>2.0</v>
      </c>
      <c r="C74" s="18"/>
      <c r="D74" s="19">
        <v>2.0</v>
      </c>
    </row>
    <row r="75" ht="15.0" customHeight="1">
      <c r="A75" s="16" t="s">
        <v>76</v>
      </c>
      <c r="B75" s="17">
        <v>1.0</v>
      </c>
      <c r="C75" s="18"/>
      <c r="D75" s="19">
        <v>1.0</v>
      </c>
    </row>
    <row r="76" ht="15.0" customHeight="1">
      <c r="A76" s="16" t="s">
        <v>77</v>
      </c>
      <c r="B76" s="17">
        <v>2.0</v>
      </c>
      <c r="C76" s="18"/>
      <c r="D76" s="19">
        <v>2.0</v>
      </c>
    </row>
    <row r="77" ht="15.0" customHeight="1">
      <c r="A77" s="16" t="s">
        <v>78</v>
      </c>
      <c r="B77" s="17">
        <v>1.0</v>
      </c>
      <c r="C77" s="18"/>
      <c r="D77" s="19">
        <v>1.0</v>
      </c>
    </row>
    <row r="78" ht="18.0" customHeight="1">
      <c r="A78" s="13" t="s">
        <v>79</v>
      </c>
      <c r="B78" s="14">
        <f>SUM(B79:B82)</f>
        <v>6</v>
      </c>
      <c r="C78" s="13"/>
      <c r="D78" s="15">
        <f>SUM(D79:D82)</f>
        <v>6</v>
      </c>
    </row>
    <row r="79" ht="15.0" customHeight="1">
      <c r="A79" s="16" t="s">
        <v>80</v>
      </c>
      <c r="B79" s="17">
        <v>2.0</v>
      </c>
      <c r="C79" s="18"/>
      <c r="D79" s="19">
        <v>2.0</v>
      </c>
    </row>
    <row r="80" ht="15.0" customHeight="1">
      <c r="A80" s="16" t="s">
        <v>81</v>
      </c>
      <c r="B80" s="17">
        <v>1.0</v>
      </c>
      <c r="C80" s="18"/>
      <c r="D80" s="19">
        <v>1.0</v>
      </c>
    </row>
    <row r="81" ht="15.0" customHeight="1">
      <c r="A81" s="16" t="s">
        <v>82</v>
      </c>
      <c r="B81" s="17">
        <v>2.0</v>
      </c>
      <c r="C81" s="18"/>
      <c r="D81" s="19">
        <v>2.0</v>
      </c>
    </row>
    <row r="82" ht="15.0" customHeight="1">
      <c r="A82" s="16" t="s">
        <v>83</v>
      </c>
      <c r="B82" s="17">
        <v>1.0</v>
      </c>
      <c r="C82" s="18"/>
      <c r="D82" s="19">
        <v>1.0</v>
      </c>
    </row>
    <row r="83" ht="19.5" customHeight="1">
      <c r="A83" s="10" t="s">
        <v>84</v>
      </c>
      <c r="B83" s="11">
        <f>B84+B87</f>
        <v>20</v>
      </c>
      <c r="C83" s="10"/>
      <c r="D83" s="12">
        <f>D84+D87</f>
        <v>10</v>
      </c>
    </row>
    <row r="84" ht="18.0" customHeight="1">
      <c r="A84" s="13" t="s">
        <v>85</v>
      </c>
      <c r="B84" s="14">
        <f>SUM(B85:B86)</f>
        <v>5</v>
      </c>
      <c r="C84" s="13"/>
      <c r="D84" s="15">
        <f>SUM(D85:D86)</f>
        <v>2.5</v>
      </c>
    </row>
    <row r="85" ht="15.0" customHeight="1">
      <c r="A85" s="16" t="s">
        <v>86</v>
      </c>
      <c r="B85" s="17">
        <v>2.5</v>
      </c>
      <c r="C85" s="18"/>
      <c r="D85" s="19">
        <v>0.0</v>
      </c>
    </row>
    <row r="86" ht="15.0" customHeight="1">
      <c r="A86" s="16" t="s">
        <v>87</v>
      </c>
      <c r="B86" s="17">
        <v>2.5</v>
      </c>
      <c r="C86" s="18"/>
      <c r="D86" s="19">
        <v>2.5</v>
      </c>
    </row>
    <row r="87" ht="18.0" customHeight="1">
      <c r="A87" s="13" t="s">
        <v>88</v>
      </c>
      <c r="B87" s="14">
        <f>SUM(B88:B90)</f>
        <v>15</v>
      </c>
      <c r="C87" s="13"/>
      <c r="D87" s="15">
        <f>SUM(D88:D90)</f>
        <v>7.5</v>
      </c>
    </row>
    <row r="88" ht="15.0" customHeight="1">
      <c r="A88" s="16" t="s">
        <v>89</v>
      </c>
      <c r="B88" s="17">
        <v>5.0</v>
      </c>
      <c r="C88" s="18"/>
      <c r="D88" s="19">
        <v>2.5</v>
      </c>
    </row>
    <row r="89" ht="15.0" customHeight="1">
      <c r="A89" s="16" t="s">
        <v>90</v>
      </c>
      <c r="B89" s="17">
        <v>5.0</v>
      </c>
      <c r="C89" s="18"/>
      <c r="D89" s="19">
        <v>2.5</v>
      </c>
    </row>
    <row r="90" ht="15.0" customHeight="1">
      <c r="A90" s="16" t="s">
        <v>91</v>
      </c>
      <c r="B90" s="17">
        <v>5.0</v>
      </c>
      <c r="C90" s="18"/>
      <c r="D90" s="19">
        <v>2.5</v>
      </c>
    </row>
    <row r="91" ht="19.5" customHeight="1">
      <c r="A91" s="21" t="s">
        <v>92</v>
      </c>
      <c r="B91" s="22">
        <f>B19+B36+B83</f>
        <v>100</v>
      </c>
      <c r="C91" s="23"/>
      <c r="D91" s="24">
        <f>D19+D36+D83</f>
        <v>90</v>
      </c>
    </row>
    <row r="92" ht="15.75" customHeight="1">
      <c r="A92" s="2"/>
      <c r="B92" s="2"/>
      <c r="C92" s="2"/>
      <c r="D92" s="2"/>
    </row>
    <row r="93" ht="15.75" customHeight="1">
      <c r="A93" s="1" t="s">
        <v>93</v>
      </c>
      <c r="B93" s="2"/>
      <c r="C93" s="2"/>
      <c r="D93" s="2"/>
    </row>
    <row r="94" ht="15.75" customHeight="1">
      <c r="A94" s="9" t="s">
        <v>94</v>
      </c>
      <c r="B94" s="9" t="s">
        <v>95</v>
      </c>
      <c r="C94" s="9" t="s">
        <v>18</v>
      </c>
      <c r="D94" s="9"/>
    </row>
    <row r="95" ht="15.75" customHeight="1">
      <c r="A95" s="16" t="s">
        <v>96</v>
      </c>
      <c r="B95" s="25" t="s">
        <v>97</v>
      </c>
      <c r="C95" s="26"/>
      <c r="D95" s="27"/>
    </row>
    <row r="96" ht="15.75" customHeight="1">
      <c r="A96" s="16" t="s">
        <v>98</v>
      </c>
      <c r="B96" s="25" t="s">
        <v>97</v>
      </c>
      <c r="C96" s="26"/>
      <c r="D96" s="27"/>
    </row>
    <row r="97" ht="15.75" customHeight="1">
      <c r="A97" s="16" t="s">
        <v>99</v>
      </c>
      <c r="B97" s="25" t="s">
        <v>97</v>
      </c>
      <c r="C97" s="26"/>
      <c r="D97" s="27"/>
    </row>
    <row r="98" ht="15.75" customHeight="1">
      <c r="A98" s="16" t="s">
        <v>100</v>
      </c>
      <c r="B98" s="25" t="s">
        <v>97</v>
      </c>
      <c r="C98" s="26"/>
      <c r="D98" s="27"/>
    </row>
    <row r="99" ht="15.75" customHeight="1">
      <c r="A99" s="16" t="s">
        <v>101</v>
      </c>
      <c r="B99" s="25" t="s">
        <v>97</v>
      </c>
      <c r="C99" s="26"/>
      <c r="D99" s="27"/>
    </row>
    <row r="100" ht="15.75" customHeight="1">
      <c r="A100" s="16" t="s">
        <v>102</v>
      </c>
      <c r="B100" s="25" t="s">
        <v>97</v>
      </c>
      <c r="C100" s="26"/>
      <c r="D100" s="27"/>
    </row>
    <row r="101" ht="15.75" customHeight="1">
      <c r="A101" s="2"/>
      <c r="B101" s="2"/>
      <c r="C101" s="2"/>
      <c r="D101" s="2"/>
    </row>
    <row r="102" ht="15.75" customHeight="1">
      <c r="A102" s="1" t="s">
        <v>103</v>
      </c>
      <c r="B102" s="2"/>
      <c r="C102" s="2"/>
      <c r="D102" s="2"/>
    </row>
    <row r="103" ht="15.75" customHeight="1">
      <c r="A103" s="9" t="s">
        <v>104</v>
      </c>
      <c r="B103" s="9" t="s">
        <v>105</v>
      </c>
      <c r="C103" s="9" t="s">
        <v>106</v>
      </c>
      <c r="D103" s="9" t="s">
        <v>107</v>
      </c>
    </row>
    <row r="104" ht="15.75" customHeight="1">
      <c r="A104" s="16" t="s">
        <v>108</v>
      </c>
      <c r="B104" s="28">
        <v>-0.3</v>
      </c>
      <c r="C104" s="25" t="s">
        <v>109</v>
      </c>
      <c r="D104" s="29">
        <f t="shared" ref="D104:D118" si="1">IF(C104="Sí",$D$91*B104,0)</f>
        <v>0</v>
      </c>
    </row>
    <row r="105" ht="15.75" customHeight="1">
      <c r="A105" s="16" t="s">
        <v>110</v>
      </c>
      <c r="B105" s="28">
        <v>-0.2</v>
      </c>
      <c r="C105" s="25" t="s">
        <v>109</v>
      </c>
      <c r="D105" s="29">
        <f t="shared" si="1"/>
        <v>0</v>
      </c>
    </row>
    <row r="106" ht="15.75" customHeight="1">
      <c r="A106" s="16" t="s">
        <v>111</v>
      </c>
      <c r="B106" s="28">
        <v>-1.0</v>
      </c>
      <c r="C106" s="25" t="s">
        <v>109</v>
      </c>
      <c r="D106" s="29">
        <f t="shared" si="1"/>
        <v>0</v>
      </c>
    </row>
    <row r="107" ht="15.75" customHeight="1">
      <c r="A107" s="16" t="s">
        <v>112</v>
      </c>
      <c r="B107" s="28">
        <v>-1.0</v>
      </c>
      <c r="C107" s="25" t="s">
        <v>109</v>
      </c>
      <c r="D107" s="29">
        <f t="shared" si="1"/>
        <v>0</v>
      </c>
    </row>
    <row r="108" ht="15.75" customHeight="1">
      <c r="A108" s="16" t="s">
        <v>113</v>
      </c>
      <c r="B108" s="28">
        <v>-0.75</v>
      </c>
      <c r="C108" s="25" t="s">
        <v>109</v>
      </c>
      <c r="D108" s="29">
        <f t="shared" si="1"/>
        <v>0</v>
      </c>
    </row>
    <row r="109" ht="15.75" customHeight="1">
      <c r="A109" s="16" t="s">
        <v>114</v>
      </c>
      <c r="B109" s="28">
        <v>-0.75</v>
      </c>
      <c r="C109" s="25" t="s">
        <v>109</v>
      </c>
      <c r="D109" s="29">
        <f t="shared" si="1"/>
        <v>0</v>
      </c>
    </row>
    <row r="110" ht="15.75" customHeight="1">
      <c r="A110" s="16" t="s">
        <v>115</v>
      </c>
      <c r="B110" s="28">
        <v>-0.9</v>
      </c>
      <c r="C110" s="25" t="s">
        <v>109</v>
      </c>
      <c r="D110" s="29">
        <f t="shared" si="1"/>
        <v>0</v>
      </c>
    </row>
    <row r="111" ht="15.75" customHeight="1">
      <c r="A111" s="16" t="s">
        <v>116</v>
      </c>
      <c r="B111" s="28">
        <v>-0.5</v>
      </c>
      <c r="C111" s="25" t="s">
        <v>109</v>
      </c>
      <c r="D111" s="29">
        <f t="shared" si="1"/>
        <v>0</v>
      </c>
    </row>
    <row r="112" ht="15.75" customHeight="1">
      <c r="A112" s="16" t="s">
        <v>117</v>
      </c>
      <c r="B112" s="28">
        <v>-0.5</v>
      </c>
      <c r="C112" s="25" t="s">
        <v>109</v>
      </c>
      <c r="D112" s="29">
        <f t="shared" si="1"/>
        <v>0</v>
      </c>
    </row>
    <row r="113" ht="15.75" customHeight="1">
      <c r="A113" s="16" t="s">
        <v>118</v>
      </c>
      <c r="B113" s="28">
        <v>-1.0</v>
      </c>
      <c r="C113" s="25" t="s">
        <v>109</v>
      </c>
      <c r="D113" s="29">
        <f t="shared" si="1"/>
        <v>0</v>
      </c>
    </row>
    <row r="114" ht="15.75" customHeight="1">
      <c r="A114" s="16" t="s">
        <v>119</v>
      </c>
      <c r="B114" s="28">
        <v>-0.25</v>
      </c>
      <c r="C114" s="25" t="s">
        <v>109</v>
      </c>
      <c r="D114" s="29">
        <f t="shared" si="1"/>
        <v>0</v>
      </c>
    </row>
    <row r="115" ht="15.75" customHeight="1">
      <c r="A115" s="16" t="s">
        <v>120</v>
      </c>
      <c r="B115" s="28">
        <v>-1.0</v>
      </c>
      <c r="C115" s="25" t="s">
        <v>109</v>
      </c>
      <c r="D115" s="29">
        <f t="shared" si="1"/>
        <v>0</v>
      </c>
    </row>
    <row r="116" ht="15.75" customHeight="1">
      <c r="A116" s="16" t="s">
        <v>121</v>
      </c>
      <c r="B116" s="28">
        <v>-1.0</v>
      </c>
      <c r="C116" s="25" t="s">
        <v>109</v>
      </c>
      <c r="D116" s="29">
        <f t="shared" si="1"/>
        <v>0</v>
      </c>
    </row>
    <row r="117" ht="15.75" customHeight="1">
      <c r="A117" s="16" t="s">
        <v>122</v>
      </c>
      <c r="B117" s="28">
        <v>-0.5</v>
      </c>
      <c r="C117" s="25" t="s">
        <v>109</v>
      </c>
      <c r="D117" s="29">
        <f t="shared" si="1"/>
        <v>0</v>
      </c>
    </row>
    <row r="118" ht="15.75" customHeight="1">
      <c r="A118" s="16" t="s">
        <v>123</v>
      </c>
      <c r="B118" s="28">
        <v>-1.0</v>
      </c>
      <c r="C118" s="25" t="s">
        <v>109</v>
      </c>
      <c r="D118" s="29">
        <f t="shared" si="1"/>
        <v>0</v>
      </c>
    </row>
    <row r="119" ht="15.75" customHeight="1">
      <c r="A119" s="21" t="s">
        <v>124</v>
      </c>
      <c r="B119" s="23"/>
      <c r="C119" s="23"/>
      <c r="D119" s="24">
        <f>SUM(D104:D118)</f>
        <v>0</v>
      </c>
    </row>
    <row r="120" ht="15.75" customHeight="1">
      <c r="A120" s="2"/>
      <c r="B120" s="2"/>
      <c r="C120" s="2"/>
      <c r="D120" s="2"/>
    </row>
    <row r="121" ht="21.75" customHeight="1">
      <c r="A121" s="31" t="s">
        <v>125</v>
      </c>
      <c r="B121" s="32"/>
      <c r="C121" s="32"/>
      <c r="D121" s="33">
        <f>MAX(0,ROUND($D$91+$D$119,2))</f>
        <v>90</v>
      </c>
    </row>
    <row r="122" ht="15.75" customHeight="1">
      <c r="A122" s="2"/>
      <c r="B122" s="2"/>
      <c r="C122" s="2"/>
      <c r="D122" s="2"/>
    </row>
    <row r="123" ht="15.75" customHeight="1">
      <c r="A123" s="4" t="s">
        <v>126</v>
      </c>
      <c r="B123" s="2"/>
      <c r="C123" s="2"/>
      <c r="D123" s="2"/>
    </row>
    <row r="124" ht="18.0" customHeight="1">
      <c r="A124" s="34"/>
      <c r="B124" s="35"/>
      <c r="C124" s="35"/>
      <c r="D124" s="36"/>
    </row>
    <row r="125" ht="18.0" customHeight="1">
      <c r="A125" s="34"/>
      <c r="B125" s="35"/>
      <c r="C125" s="35"/>
      <c r="D125" s="36"/>
    </row>
    <row r="126" ht="18.0" customHeight="1">
      <c r="A126" s="34"/>
      <c r="B126" s="35"/>
      <c r="C126" s="35"/>
      <c r="D126" s="36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37" t="s">
        <v>127</v>
      </c>
      <c r="B129" s="2"/>
      <c r="C129" s="37" t="s">
        <v>127</v>
      </c>
      <c r="D129" s="2"/>
    </row>
    <row r="130" ht="15.75" customHeight="1">
      <c r="A130" s="37" t="s">
        <v>128</v>
      </c>
      <c r="B130" s="2"/>
      <c r="C130" s="37" t="s">
        <v>129</v>
      </c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mergeCells count="6">
    <mergeCell ref="A14:D14"/>
    <mergeCell ref="A15:D15"/>
    <mergeCell ref="A16:D16"/>
    <mergeCell ref="A124:D124"/>
    <mergeCell ref="A125:D125"/>
    <mergeCell ref="A126:D126"/>
  </mergeCells>
  <conditionalFormatting sqref="D19:D90">
    <cfRule type="cellIs" dxfId="0" priority="1" operator="greaterThan">
      <formula>B19</formula>
    </cfRule>
  </conditionalFormatting>
  <dataValidations>
    <dataValidation type="list" allowBlank="1" sqref="B95:B100 C104:C118">
      <formula1>"Sí,No"</formula1>
    </dataValidation>
  </dataValidations>
  <printOptions horizontalCentered="1"/>
  <pageMargins bottom="1.0" footer="0.0" header="0.0" left="0.75" right="0.75" top="1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8.0" topLeftCell="A19" activePane="bottomLeft" state="frozen"/>
      <selection activeCell="B20" sqref="B20" pane="bottomLeft"/>
    </sheetView>
  </sheetViews>
  <sheetFormatPr customHeight="1" defaultColWidth="14.43" defaultRowHeight="15.0"/>
  <cols>
    <col customWidth="1" min="1" max="1" width="78.0"/>
    <col customWidth="1" min="2" max="2" width="11.0"/>
    <col customWidth="1" min="3" max="3" width="34.0"/>
    <col customWidth="1" min="4" max="4" width="11.0"/>
    <col customWidth="1" min="5" max="26" width="8.71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3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2"/>
      <c r="B7" s="2"/>
      <c r="C7" s="2"/>
      <c r="D7" s="2"/>
    </row>
    <row r="8">
      <c r="A8" s="3" t="s">
        <v>6</v>
      </c>
      <c r="B8" s="2"/>
      <c r="C8" s="2"/>
      <c r="D8" s="2"/>
    </row>
    <row r="9">
      <c r="A9" s="2"/>
      <c r="B9" s="2"/>
      <c r="C9" s="2"/>
      <c r="D9" s="2"/>
    </row>
    <row r="10">
      <c r="A10" s="4" t="s">
        <v>7</v>
      </c>
      <c r="B10" s="5"/>
      <c r="C10" s="2"/>
      <c r="D10" s="2"/>
    </row>
    <row r="11">
      <c r="A11" s="4" t="s">
        <v>8</v>
      </c>
      <c r="B11" s="6" t="s">
        <v>132</v>
      </c>
      <c r="C11" s="2"/>
      <c r="D11" s="2"/>
    </row>
    <row r="12">
      <c r="A12" s="4" t="s">
        <v>10</v>
      </c>
      <c r="B12" s="6">
        <v>2.02501625E8</v>
      </c>
      <c r="C12" s="2"/>
      <c r="D12" s="2"/>
    </row>
    <row r="13">
      <c r="A13" s="2"/>
      <c r="B13" s="2"/>
      <c r="C13" s="2"/>
      <c r="D13" s="2"/>
    </row>
    <row r="14" ht="25.5" customHeight="1">
      <c r="A14" s="8" t="s">
        <v>12</v>
      </c>
    </row>
    <row r="15" ht="25.5" customHeight="1">
      <c r="A15" s="8" t="s">
        <v>14</v>
      </c>
    </row>
    <row r="16" ht="25.5" customHeight="1">
      <c r="A16" s="8" t="s">
        <v>15</v>
      </c>
    </row>
    <row r="17">
      <c r="A17" s="2"/>
      <c r="B17" s="2"/>
      <c r="C17" s="2"/>
      <c r="D17" s="2"/>
    </row>
    <row r="18" ht="19.5" customHeight="1">
      <c r="A18" s="9" t="s">
        <v>16</v>
      </c>
      <c r="B18" s="9" t="s">
        <v>17</v>
      </c>
      <c r="C18" s="9" t="s">
        <v>18</v>
      </c>
      <c r="D18" s="9" t="s">
        <v>19</v>
      </c>
    </row>
    <row r="19" ht="19.5" customHeight="1">
      <c r="A19" s="10" t="s">
        <v>20</v>
      </c>
      <c r="B19" s="11">
        <f>B20+B25+B30</f>
        <v>25</v>
      </c>
      <c r="C19" s="10"/>
      <c r="D19" s="12">
        <f>D20+D25+D30</f>
        <v>25</v>
      </c>
    </row>
    <row r="20" ht="18.0" customHeight="1">
      <c r="A20" s="13" t="s">
        <v>21</v>
      </c>
      <c r="B20" s="14">
        <f>SUM(B21:B24)</f>
        <v>10</v>
      </c>
      <c r="C20" s="13"/>
      <c r="D20" s="15">
        <f>SUM(D21:D24)</f>
        <v>10</v>
      </c>
    </row>
    <row r="21" ht="15.0" customHeight="1">
      <c r="A21" s="16" t="s">
        <v>22</v>
      </c>
      <c r="B21" s="17">
        <v>3.0</v>
      </c>
      <c r="C21" s="18"/>
      <c r="D21" s="19">
        <v>3.0</v>
      </c>
    </row>
    <row r="22" ht="15.0" customHeight="1">
      <c r="A22" s="16" t="s">
        <v>23</v>
      </c>
      <c r="B22" s="17">
        <v>3.0</v>
      </c>
      <c r="C22" s="18"/>
      <c r="D22" s="19">
        <v>3.0</v>
      </c>
    </row>
    <row r="23" ht="15.0" customHeight="1">
      <c r="A23" s="16" t="s">
        <v>24</v>
      </c>
      <c r="B23" s="17">
        <v>2.0</v>
      </c>
      <c r="C23" s="18"/>
      <c r="D23" s="19">
        <v>2.0</v>
      </c>
    </row>
    <row r="24" ht="15.0" customHeight="1">
      <c r="A24" s="16" t="s">
        <v>25</v>
      </c>
      <c r="B24" s="17">
        <v>2.0</v>
      </c>
      <c r="C24" s="18"/>
      <c r="D24" s="19">
        <v>2.0</v>
      </c>
    </row>
    <row r="25" ht="18.0" customHeight="1">
      <c r="A25" s="13" t="s">
        <v>26</v>
      </c>
      <c r="B25" s="14">
        <f>SUM(B26:B29)</f>
        <v>10</v>
      </c>
      <c r="C25" s="13"/>
      <c r="D25" s="15">
        <f>SUM(D26:D29)</f>
        <v>10</v>
      </c>
    </row>
    <row r="26" ht="15.0" customHeight="1">
      <c r="A26" s="16" t="s">
        <v>27</v>
      </c>
      <c r="B26" s="17">
        <v>4.0</v>
      </c>
      <c r="C26" s="18"/>
      <c r="D26" s="19">
        <v>4.0</v>
      </c>
    </row>
    <row r="27" ht="15.0" customHeight="1">
      <c r="A27" s="16" t="s">
        <v>28</v>
      </c>
      <c r="B27" s="17">
        <v>2.0</v>
      </c>
      <c r="C27" s="18"/>
      <c r="D27" s="19">
        <v>2.0</v>
      </c>
    </row>
    <row r="28" ht="15.0" customHeight="1">
      <c r="A28" s="16" t="s">
        <v>29</v>
      </c>
      <c r="B28" s="17">
        <v>3.0</v>
      </c>
      <c r="C28" s="18"/>
      <c r="D28" s="19">
        <v>3.0</v>
      </c>
    </row>
    <row r="29" ht="15.0" customHeight="1">
      <c r="A29" s="16" t="s">
        <v>30</v>
      </c>
      <c r="B29" s="17">
        <v>1.0</v>
      </c>
      <c r="C29" s="18"/>
      <c r="D29" s="19">
        <v>1.0</v>
      </c>
    </row>
    <row r="30" ht="18.0" customHeight="1">
      <c r="A30" s="13" t="s">
        <v>31</v>
      </c>
      <c r="B30" s="14">
        <f>SUM(B31:B35)</f>
        <v>5</v>
      </c>
      <c r="C30" s="13"/>
      <c r="D30" s="15">
        <f>SUM(D31:D35)</f>
        <v>5</v>
      </c>
    </row>
    <row r="31" ht="15.0" customHeight="1">
      <c r="A31" s="16" t="s">
        <v>32</v>
      </c>
      <c r="B31" s="17">
        <v>1.0</v>
      </c>
      <c r="C31" s="18"/>
      <c r="D31" s="19">
        <v>1.0</v>
      </c>
    </row>
    <row r="32" ht="15.0" customHeight="1">
      <c r="A32" s="16" t="s">
        <v>33</v>
      </c>
      <c r="B32" s="17">
        <v>1.0</v>
      </c>
      <c r="C32" s="18"/>
      <c r="D32" s="19">
        <v>1.0</v>
      </c>
    </row>
    <row r="33" ht="15.0" customHeight="1">
      <c r="A33" s="16" t="s">
        <v>34</v>
      </c>
      <c r="B33" s="17">
        <v>1.0</v>
      </c>
      <c r="C33" s="18"/>
      <c r="D33" s="19">
        <v>1.0</v>
      </c>
    </row>
    <row r="34" ht="15.0" customHeight="1">
      <c r="A34" s="16" t="s">
        <v>35</v>
      </c>
      <c r="B34" s="17">
        <v>1.0</v>
      </c>
      <c r="C34" s="18"/>
      <c r="D34" s="19">
        <v>1.0</v>
      </c>
    </row>
    <row r="35" ht="15.0" customHeight="1">
      <c r="A35" s="16" t="s">
        <v>36</v>
      </c>
      <c r="B35" s="17">
        <v>1.0</v>
      </c>
      <c r="C35" s="18"/>
      <c r="D35" s="19">
        <v>1.0</v>
      </c>
    </row>
    <row r="36" ht="19.5" customHeight="1">
      <c r="A36" s="10" t="s">
        <v>37</v>
      </c>
      <c r="B36" s="11">
        <f>B37+B43+B55+B61+B67+B72+B78</f>
        <v>55</v>
      </c>
      <c r="C36" s="10"/>
      <c r="D36" s="12">
        <f>D37+D43+D55+D61+D67+D72+D78</f>
        <v>55</v>
      </c>
    </row>
    <row r="37" ht="18.0" customHeight="1">
      <c r="A37" s="13" t="s">
        <v>38</v>
      </c>
      <c r="B37" s="14">
        <f>SUM(B38:B42)</f>
        <v>5</v>
      </c>
      <c r="C37" s="13"/>
      <c r="D37" s="15">
        <f>SUM(D38:D42)</f>
        <v>5</v>
      </c>
    </row>
    <row r="38" ht="15.0" customHeight="1">
      <c r="A38" s="16" t="s">
        <v>39</v>
      </c>
      <c r="B38" s="17">
        <v>1.0</v>
      </c>
      <c r="C38" s="18"/>
      <c r="D38" s="19">
        <v>1.0</v>
      </c>
    </row>
    <row r="39" ht="15.0" customHeight="1">
      <c r="A39" s="16" t="s">
        <v>40</v>
      </c>
      <c r="B39" s="17">
        <v>1.0</v>
      </c>
      <c r="C39" s="18"/>
      <c r="D39" s="19">
        <v>1.0</v>
      </c>
    </row>
    <row r="40" ht="15.0" customHeight="1">
      <c r="A40" s="16" t="s">
        <v>41</v>
      </c>
      <c r="B40" s="17">
        <v>1.0</v>
      </c>
      <c r="C40" s="18"/>
      <c r="D40" s="19">
        <v>1.0</v>
      </c>
    </row>
    <row r="41" ht="15.0" customHeight="1">
      <c r="A41" s="16" t="s">
        <v>42</v>
      </c>
      <c r="B41" s="17">
        <v>1.0</v>
      </c>
      <c r="C41" s="18"/>
      <c r="D41" s="19">
        <v>1.0</v>
      </c>
    </row>
    <row r="42" ht="15.0" customHeight="1">
      <c r="A42" s="16" t="s">
        <v>43</v>
      </c>
      <c r="B42" s="17">
        <v>1.0</v>
      </c>
      <c r="C42" s="18"/>
      <c r="D42" s="19">
        <v>1.0</v>
      </c>
    </row>
    <row r="43" ht="18.0" customHeight="1">
      <c r="A43" s="13" t="s">
        <v>44</v>
      </c>
      <c r="B43" s="14">
        <f>SUM(B44:B54)</f>
        <v>15</v>
      </c>
      <c r="C43" s="13"/>
      <c r="D43" s="15">
        <f>SUM(D44:D54)</f>
        <v>15</v>
      </c>
    </row>
    <row r="44" ht="15.0" customHeight="1">
      <c r="A44" s="16" t="s">
        <v>45</v>
      </c>
      <c r="B44" s="17">
        <v>2.0</v>
      </c>
      <c r="C44" s="18"/>
      <c r="D44" s="19">
        <v>2.0</v>
      </c>
    </row>
    <row r="45" ht="15.0" customHeight="1">
      <c r="A45" s="16" t="s">
        <v>46</v>
      </c>
      <c r="B45" s="17">
        <v>1.0</v>
      </c>
      <c r="C45" s="18"/>
      <c r="D45" s="19">
        <v>1.0</v>
      </c>
    </row>
    <row r="46" ht="15.0" customHeight="1">
      <c r="A46" s="16" t="s">
        <v>47</v>
      </c>
      <c r="B46" s="17">
        <v>1.0</v>
      </c>
      <c r="C46" s="18"/>
      <c r="D46" s="19">
        <v>1.0</v>
      </c>
    </row>
    <row r="47" ht="15.0" customHeight="1">
      <c r="A47" s="16" t="s">
        <v>48</v>
      </c>
      <c r="B47" s="17">
        <v>1.0</v>
      </c>
      <c r="C47" s="18"/>
      <c r="D47" s="19">
        <v>1.0</v>
      </c>
    </row>
    <row r="48" ht="15.0" customHeight="1">
      <c r="A48" s="16" t="s">
        <v>49</v>
      </c>
      <c r="B48" s="17">
        <v>2.0</v>
      </c>
      <c r="C48" s="18"/>
      <c r="D48" s="19">
        <v>2.0</v>
      </c>
    </row>
    <row r="49" ht="15.0" customHeight="1">
      <c r="A49" s="16" t="s">
        <v>50</v>
      </c>
      <c r="B49" s="17">
        <v>2.0</v>
      </c>
      <c r="C49" s="18"/>
      <c r="D49" s="19">
        <v>2.0</v>
      </c>
    </row>
    <row r="50" ht="15.0" customHeight="1">
      <c r="A50" s="16" t="s">
        <v>51</v>
      </c>
      <c r="B50" s="17">
        <v>1.0</v>
      </c>
      <c r="C50" s="18"/>
      <c r="D50" s="19">
        <v>1.0</v>
      </c>
    </row>
    <row r="51" ht="15.0" customHeight="1">
      <c r="A51" s="16" t="s">
        <v>52</v>
      </c>
      <c r="B51" s="17">
        <v>1.0</v>
      </c>
      <c r="C51" s="18"/>
      <c r="D51" s="19">
        <v>1.0</v>
      </c>
    </row>
    <row r="52" ht="15.0" customHeight="1">
      <c r="A52" s="16" t="s">
        <v>53</v>
      </c>
      <c r="B52" s="17">
        <v>2.0</v>
      </c>
      <c r="C52" s="18"/>
      <c r="D52" s="19">
        <v>2.0</v>
      </c>
    </row>
    <row r="53" ht="15.0" customHeight="1">
      <c r="A53" s="16" t="s">
        <v>54</v>
      </c>
      <c r="B53" s="17">
        <v>1.0</v>
      </c>
      <c r="C53" s="18"/>
      <c r="D53" s="19">
        <v>1.0</v>
      </c>
    </row>
    <row r="54" ht="15.0" customHeight="1">
      <c r="A54" s="16" t="s">
        <v>55</v>
      </c>
      <c r="B54" s="17">
        <v>1.0</v>
      </c>
      <c r="C54" s="18"/>
      <c r="D54" s="19">
        <v>1.0</v>
      </c>
    </row>
    <row r="55" ht="18.0" customHeight="1">
      <c r="A55" s="13" t="s">
        <v>56</v>
      </c>
      <c r="B55" s="14">
        <f>SUM(B56:B60)</f>
        <v>8</v>
      </c>
      <c r="C55" s="13"/>
      <c r="D55" s="15">
        <f>SUM(D56:D60)</f>
        <v>8</v>
      </c>
    </row>
    <row r="56" ht="15.0" customHeight="1">
      <c r="A56" s="16" t="s">
        <v>57</v>
      </c>
      <c r="B56" s="17">
        <v>1.0</v>
      </c>
      <c r="C56" s="18"/>
      <c r="D56" s="19">
        <v>1.0</v>
      </c>
    </row>
    <row r="57" ht="15.0" customHeight="1">
      <c r="A57" s="16" t="s">
        <v>58</v>
      </c>
      <c r="B57" s="17">
        <v>2.0</v>
      </c>
      <c r="C57" s="18"/>
      <c r="D57" s="19">
        <v>2.0</v>
      </c>
    </row>
    <row r="58" ht="15.0" customHeight="1">
      <c r="A58" s="16" t="s">
        <v>59</v>
      </c>
      <c r="B58" s="17">
        <v>2.0</v>
      </c>
      <c r="C58" s="18"/>
      <c r="D58" s="19">
        <v>2.0</v>
      </c>
    </row>
    <row r="59" ht="15.0" customHeight="1">
      <c r="A59" s="16" t="s">
        <v>60</v>
      </c>
      <c r="B59" s="17">
        <v>2.0</v>
      </c>
      <c r="C59" s="18"/>
      <c r="D59" s="19">
        <v>2.0</v>
      </c>
    </row>
    <row r="60" ht="15.0" customHeight="1">
      <c r="A60" s="16" t="s">
        <v>61</v>
      </c>
      <c r="B60" s="17">
        <v>1.0</v>
      </c>
      <c r="C60" s="18"/>
      <c r="D60" s="19">
        <v>1.0</v>
      </c>
    </row>
    <row r="61" ht="18.0" customHeight="1">
      <c r="A61" s="13" t="s">
        <v>62</v>
      </c>
      <c r="B61" s="14">
        <f>SUM(B62:B66)</f>
        <v>8</v>
      </c>
      <c r="C61" s="13"/>
      <c r="D61" s="15">
        <f>SUM(D62:D66)</f>
        <v>8</v>
      </c>
    </row>
    <row r="62" ht="15.0" customHeight="1">
      <c r="A62" s="16" t="s">
        <v>63</v>
      </c>
      <c r="B62" s="17">
        <v>2.0</v>
      </c>
      <c r="C62" s="18"/>
      <c r="D62" s="19">
        <v>2.0</v>
      </c>
    </row>
    <row r="63" ht="15.0" customHeight="1">
      <c r="A63" s="16" t="s">
        <v>64</v>
      </c>
      <c r="B63" s="17">
        <v>2.0</v>
      </c>
      <c r="C63" s="18"/>
      <c r="D63" s="19">
        <v>2.0</v>
      </c>
    </row>
    <row r="64" ht="15.0" customHeight="1">
      <c r="A64" s="16" t="s">
        <v>65</v>
      </c>
      <c r="B64" s="17">
        <v>1.0</v>
      </c>
      <c r="C64" s="18"/>
      <c r="D64" s="19">
        <v>1.0</v>
      </c>
    </row>
    <row r="65" ht="15.0" customHeight="1">
      <c r="A65" s="16" t="s">
        <v>66</v>
      </c>
      <c r="B65" s="17">
        <v>2.0</v>
      </c>
      <c r="C65" s="18"/>
      <c r="D65" s="19">
        <v>2.0</v>
      </c>
    </row>
    <row r="66" ht="15.0" customHeight="1">
      <c r="A66" s="16" t="s">
        <v>67</v>
      </c>
      <c r="B66" s="17">
        <v>1.0</v>
      </c>
      <c r="C66" s="18"/>
      <c r="D66" s="19">
        <v>1.0</v>
      </c>
    </row>
    <row r="67" ht="18.0" customHeight="1">
      <c r="A67" s="13" t="s">
        <v>68</v>
      </c>
      <c r="B67" s="14">
        <f>SUM(B68:B71)</f>
        <v>5</v>
      </c>
      <c r="C67" s="13"/>
      <c r="D67" s="15">
        <f>SUM(D68:D71)</f>
        <v>5</v>
      </c>
    </row>
    <row r="68" ht="15.0" customHeight="1">
      <c r="A68" s="16" t="s">
        <v>69</v>
      </c>
      <c r="B68" s="17">
        <v>1.0</v>
      </c>
      <c r="C68" s="18"/>
      <c r="D68" s="19">
        <v>1.0</v>
      </c>
    </row>
    <row r="69" ht="15.0" customHeight="1">
      <c r="A69" s="16" t="s">
        <v>70</v>
      </c>
      <c r="B69" s="17">
        <v>2.0</v>
      </c>
      <c r="C69" s="18"/>
      <c r="D69" s="19">
        <v>2.0</v>
      </c>
    </row>
    <row r="70" ht="15.0" customHeight="1">
      <c r="A70" s="16" t="s">
        <v>71</v>
      </c>
      <c r="B70" s="17">
        <v>1.0</v>
      </c>
      <c r="C70" s="18"/>
      <c r="D70" s="19">
        <v>1.0</v>
      </c>
    </row>
    <row r="71" ht="15.0" customHeight="1">
      <c r="A71" s="16" t="s">
        <v>72</v>
      </c>
      <c r="B71" s="17">
        <v>1.0</v>
      </c>
      <c r="C71" s="18"/>
      <c r="D71" s="19">
        <v>1.0</v>
      </c>
    </row>
    <row r="72" ht="18.0" customHeight="1">
      <c r="A72" s="13" t="s">
        <v>73</v>
      </c>
      <c r="B72" s="14">
        <f>SUM(B73:B77)</f>
        <v>8</v>
      </c>
      <c r="C72" s="13"/>
      <c r="D72" s="15">
        <f>SUM(D73:D77)</f>
        <v>8</v>
      </c>
    </row>
    <row r="73" ht="15.0" customHeight="1">
      <c r="A73" s="16" t="s">
        <v>74</v>
      </c>
      <c r="B73" s="17">
        <v>2.0</v>
      </c>
      <c r="C73" s="18"/>
      <c r="D73" s="19">
        <v>2.0</v>
      </c>
    </row>
    <row r="74" ht="15.0" customHeight="1">
      <c r="A74" s="16" t="s">
        <v>75</v>
      </c>
      <c r="B74" s="17">
        <v>2.0</v>
      </c>
      <c r="C74" s="18"/>
      <c r="D74" s="19">
        <v>2.0</v>
      </c>
    </row>
    <row r="75" ht="15.0" customHeight="1">
      <c r="A75" s="16" t="s">
        <v>76</v>
      </c>
      <c r="B75" s="17">
        <v>1.0</v>
      </c>
      <c r="C75" s="18"/>
      <c r="D75" s="19">
        <v>1.0</v>
      </c>
    </row>
    <row r="76" ht="15.0" customHeight="1">
      <c r="A76" s="16" t="s">
        <v>77</v>
      </c>
      <c r="B76" s="17">
        <v>2.0</v>
      </c>
      <c r="C76" s="18"/>
      <c r="D76" s="19">
        <v>2.0</v>
      </c>
    </row>
    <row r="77" ht="15.0" customHeight="1">
      <c r="A77" s="16" t="s">
        <v>78</v>
      </c>
      <c r="B77" s="17">
        <v>1.0</v>
      </c>
      <c r="C77" s="18"/>
      <c r="D77" s="19">
        <v>1.0</v>
      </c>
    </row>
    <row r="78" ht="18.0" customHeight="1">
      <c r="A78" s="13" t="s">
        <v>79</v>
      </c>
      <c r="B78" s="14">
        <f>SUM(B79:B82)</f>
        <v>6</v>
      </c>
      <c r="C78" s="13"/>
      <c r="D78" s="15">
        <f>SUM(D79:D82)</f>
        <v>6</v>
      </c>
    </row>
    <row r="79" ht="15.0" customHeight="1">
      <c r="A79" s="16" t="s">
        <v>80</v>
      </c>
      <c r="B79" s="17">
        <v>2.0</v>
      </c>
      <c r="C79" s="18"/>
      <c r="D79" s="19">
        <v>2.0</v>
      </c>
    </row>
    <row r="80" ht="15.0" customHeight="1">
      <c r="A80" s="16" t="s">
        <v>81</v>
      </c>
      <c r="B80" s="17">
        <v>1.0</v>
      </c>
      <c r="C80" s="18"/>
      <c r="D80" s="19">
        <v>1.0</v>
      </c>
    </row>
    <row r="81" ht="15.0" customHeight="1">
      <c r="A81" s="16" t="s">
        <v>82</v>
      </c>
      <c r="B81" s="17">
        <v>2.0</v>
      </c>
      <c r="C81" s="18"/>
      <c r="D81" s="19">
        <v>2.0</v>
      </c>
    </row>
    <row r="82" ht="15.0" customHeight="1">
      <c r="A82" s="16" t="s">
        <v>83</v>
      </c>
      <c r="B82" s="17">
        <v>1.0</v>
      </c>
      <c r="C82" s="18"/>
      <c r="D82" s="19">
        <v>1.0</v>
      </c>
    </row>
    <row r="83" ht="19.5" customHeight="1">
      <c r="A83" s="10" t="s">
        <v>84</v>
      </c>
      <c r="B83" s="11">
        <f>B84+B87</f>
        <v>20</v>
      </c>
      <c r="C83" s="10"/>
      <c r="D83" s="12">
        <f>D84+D87</f>
        <v>17.5</v>
      </c>
    </row>
    <row r="84" ht="18.0" customHeight="1">
      <c r="A84" s="13" t="s">
        <v>85</v>
      </c>
      <c r="B84" s="14">
        <f>SUM(B85:B86)</f>
        <v>5</v>
      </c>
      <c r="C84" s="13"/>
      <c r="D84" s="15">
        <f>SUM(D85:D86)</f>
        <v>2.5</v>
      </c>
    </row>
    <row r="85" ht="15.0" customHeight="1">
      <c r="A85" s="16" t="s">
        <v>86</v>
      </c>
      <c r="B85" s="17">
        <v>2.5</v>
      </c>
      <c r="C85" s="18"/>
      <c r="D85" s="19">
        <v>2.5</v>
      </c>
    </row>
    <row r="86" ht="15.0" customHeight="1">
      <c r="A86" s="16" t="s">
        <v>87</v>
      </c>
      <c r="B86" s="17">
        <v>2.5</v>
      </c>
      <c r="C86" s="18"/>
      <c r="D86" s="19">
        <v>0.0</v>
      </c>
    </row>
    <row r="87" ht="18.0" customHeight="1">
      <c r="A87" s="13" t="s">
        <v>88</v>
      </c>
      <c r="B87" s="14">
        <f>SUM(B88:B90)</f>
        <v>15</v>
      </c>
      <c r="C87" s="13"/>
      <c r="D87" s="15">
        <f>SUM(D88:D90)</f>
        <v>15</v>
      </c>
    </row>
    <row r="88" ht="15.0" customHeight="1">
      <c r="A88" s="16" t="s">
        <v>89</v>
      </c>
      <c r="B88" s="17">
        <v>5.0</v>
      </c>
      <c r="C88" s="18"/>
      <c r="D88" s="19">
        <v>5.0</v>
      </c>
    </row>
    <row r="89" ht="15.0" customHeight="1">
      <c r="A89" s="16" t="s">
        <v>90</v>
      </c>
      <c r="B89" s="17">
        <v>5.0</v>
      </c>
      <c r="C89" s="18"/>
      <c r="D89" s="19">
        <v>5.0</v>
      </c>
    </row>
    <row r="90" ht="15.0" customHeight="1">
      <c r="A90" s="16" t="s">
        <v>91</v>
      </c>
      <c r="B90" s="17">
        <v>5.0</v>
      </c>
      <c r="C90" s="18"/>
      <c r="D90" s="19">
        <v>5.0</v>
      </c>
    </row>
    <row r="91" ht="19.5" customHeight="1">
      <c r="A91" s="21" t="s">
        <v>92</v>
      </c>
      <c r="B91" s="22">
        <f>B19+B36+B83</f>
        <v>100</v>
      </c>
      <c r="C91" s="23"/>
      <c r="D91" s="24">
        <f>D19+D36+D83</f>
        <v>97.5</v>
      </c>
    </row>
    <row r="92" ht="15.75" customHeight="1">
      <c r="A92" s="2"/>
      <c r="B92" s="2"/>
      <c r="C92" s="2"/>
      <c r="D92" s="2"/>
    </row>
    <row r="93" ht="15.75" customHeight="1">
      <c r="A93" s="1" t="s">
        <v>93</v>
      </c>
      <c r="B93" s="2"/>
      <c r="C93" s="2"/>
      <c r="D93" s="2"/>
    </row>
    <row r="94" ht="15.75" customHeight="1">
      <c r="A94" s="9" t="s">
        <v>94</v>
      </c>
      <c r="B94" s="9" t="s">
        <v>95</v>
      </c>
      <c r="C94" s="9" t="s">
        <v>18</v>
      </c>
      <c r="D94" s="9"/>
    </row>
    <row r="95" ht="15.75" customHeight="1">
      <c r="A95" s="16" t="s">
        <v>96</v>
      </c>
      <c r="B95" s="25" t="s">
        <v>97</v>
      </c>
      <c r="C95" s="26"/>
      <c r="D95" s="27"/>
    </row>
    <row r="96" ht="15.75" customHeight="1">
      <c r="A96" s="16" t="s">
        <v>98</v>
      </c>
      <c r="B96" s="25" t="s">
        <v>97</v>
      </c>
      <c r="C96" s="26"/>
      <c r="D96" s="27"/>
    </row>
    <row r="97" ht="15.75" customHeight="1">
      <c r="A97" s="16" t="s">
        <v>99</v>
      </c>
      <c r="B97" s="25" t="s">
        <v>97</v>
      </c>
      <c r="C97" s="26"/>
      <c r="D97" s="27"/>
    </row>
    <row r="98" ht="15.75" customHeight="1">
      <c r="A98" s="16" t="s">
        <v>100</v>
      </c>
      <c r="B98" s="25" t="s">
        <v>97</v>
      </c>
      <c r="C98" s="26"/>
      <c r="D98" s="27"/>
    </row>
    <row r="99" ht="15.75" customHeight="1">
      <c r="A99" s="16" t="s">
        <v>101</v>
      </c>
      <c r="B99" s="25" t="s">
        <v>97</v>
      </c>
      <c r="C99" s="26"/>
      <c r="D99" s="27"/>
    </row>
    <row r="100" ht="15.75" customHeight="1">
      <c r="A100" s="16" t="s">
        <v>102</v>
      </c>
      <c r="B100" s="25" t="s">
        <v>97</v>
      </c>
      <c r="C100" s="26"/>
      <c r="D100" s="27"/>
    </row>
    <row r="101" ht="15.75" customHeight="1">
      <c r="A101" s="2"/>
      <c r="B101" s="2"/>
      <c r="C101" s="2"/>
      <c r="D101" s="2"/>
    </row>
    <row r="102" ht="15.75" customHeight="1">
      <c r="A102" s="1" t="s">
        <v>103</v>
      </c>
      <c r="B102" s="2"/>
      <c r="C102" s="2"/>
      <c r="D102" s="2"/>
    </row>
    <row r="103" ht="15.75" customHeight="1">
      <c r="A103" s="9" t="s">
        <v>104</v>
      </c>
      <c r="B103" s="9" t="s">
        <v>105</v>
      </c>
      <c r="C103" s="9" t="s">
        <v>106</v>
      </c>
      <c r="D103" s="9" t="s">
        <v>107</v>
      </c>
    </row>
    <row r="104" ht="15.75" customHeight="1">
      <c r="A104" s="16" t="s">
        <v>108</v>
      </c>
      <c r="B104" s="28">
        <v>-0.3</v>
      </c>
      <c r="C104" s="25" t="s">
        <v>109</v>
      </c>
      <c r="D104" s="29">
        <f t="shared" ref="D104:D118" si="1">IF(C104="Sí",$D$91*B104,0)</f>
        <v>0</v>
      </c>
    </row>
    <row r="105" ht="15.75" customHeight="1">
      <c r="A105" s="16" t="s">
        <v>110</v>
      </c>
      <c r="B105" s="28">
        <v>-0.2</v>
      </c>
      <c r="C105" s="25" t="s">
        <v>109</v>
      </c>
      <c r="D105" s="29">
        <f t="shared" si="1"/>
        <v>0</v>
      </c>
    </row>
    <row r="106" ht="15.75" customHeight="1">
      <c r="A106" s="16" t="s">
        <v>111</v>
      </c>
      <c r="B106" s="28">
        <v>-1.0</v>
      </c>
      <c r="C106" s="25" t="s">
        <v>109</v>
      </c>
      <c r="D106" s="29">
        <f t="shared" si="1"/>
        <v>0</v>
      </c>
    </row>
    <row r="107" ht="15.75" customHeight="1">
      <c r="A107" s="16" t="s">
        <v>112</v>
      </c>
      <c r="B107" s="28">
        <v>-1.0</v>
      </c>
      <c r="C107" s="25" t="s">
        <v>109</v>
      </c>
      <c r="D107" s="29">
        <f t="shared" si="1"/>
        <v>0</v>
      </c>
    </row>
    <row r="108" ht="15.75" customHeight="1">
      <c r="A108" s="16" t="s">
        <v>113</v>
      </c>
      <c r="B108" s="28">
        <v>-0.75</v>
      </c>
      <c r="C108" s="25" t="s">
        <v>109</v>
      </c>
      <c r="D108" s="29">
        <f t="shared" si="1"/>
        <v>0</v>
      </c>
    </row>
    <row r="109" ht="15.75" customHeight="1">
      <c r="A109" s="16" t="s">
        <v>114</v>
      </c>
      <c r="B109" s="28">
        <v>-0.75</v>
      </c>
      <c r="C109" s="25" t="s">
        <v>109</v>
      </c>
      <c r="D109" s="29">
        <f t="shared" si="1"/>
        <v>0</v>
      </c>
    </row>
    <row r="110" ht="15.75" customHeight="1">
      <c r="A110" s="16" t="s">
        <v>115</v>
      </c>
      <c r="B110" s="28">
        <v>-0.9</v>
      </c>
      <c r="C110" s="25" t="s">
        <v>109</v>
      </c>
      <c r="D110" s="29">
        <f t="shared" si="1"/>
        <v>0</v>
      </c>
    </row>
    <row r="111" ht="15.75" customHeight="1">
      <c r="A111" s="16" t="s">
        <v>116</v>
      </c>
      <c r="B111" s="28">
        <v>-0.5</v>
      </c>
      <c r="C111" s="25" t="s">
        <v>109</v>
      </c>
      <c r="D111" s="29">
        <f t="shared" si="1"/>
        <v>0</v>
      </c>
    </row>
    <row r="112" ht="15.75" customHeight="1">
      <c r="A112" s="16" t="s">
        <v>117</v>
      </c>
      <c r="B112" s="28">
        <v>-0.5</v>
      </c>
      <c r="C112" s="25" t="s">
        <v>109</v>
      </c>
      <c r="D112" s="29">
        <f t="shared" si="1"/>
        <v>0</v>
      </c>
    </row>
    <row r="113" ht="15.75" customHeight="1">
      <c r="A113" s="16" t="s">
        <v>118</v>
      </c>
      <c r="B113" s="28">
        <v>-1.0</v>
      </c>
      <c r="C113" s="25" t="s">
        <v>109</v>
      </c>
      <c r="D113" s="29">
        <f t="shared" si="1"/>
        <v>0</v>
      </c>
    </row>
    <row r="114" ht="15.75" customHeight="1">
      <c r="A114" s="16" t="s">
        <v>119</v>
      </c>
      <c r="B114" s="28">
        <v>-0.25</v>
      </c>
      <c r="C114" s="30" t="s">
        <v>97</v>
      </c>
      <c r="D114" s="29">
        <f t="shared" si="1"/>
        <v>-24.375</v>
      </c>
    </row>
    <row r="115" ht="15.75" customHeight="1">
      <c r="A115" s="16" t="s">
        <v>120</v>
      </c>
      <c r="B115" s="28">
        <v>-1.0</v>
      </c>
      <c r="C115" s="25" t="s">
        <v>109</v>
      </c>
      <c r="D115" s="29">
        <f t="shared" si="1"/>
        <v>0</v>
      </c>
    </row>
    <row r="116" ht="15.75" customHeight="1">
      <c r="A116" s="16" t="s">
        <v>121</v>
      </c>
      <c r="B116" s="28">
        <v>-1.0</v>
      </c>
      <c r="C116" s="25" t="s">
        <v>109</v>
      </c>
      <c r="D116" s="29">
        <f t="shared" si="1"/>
        <v>0</v>
      </c>
    </row>
    <row r="117" ht="15.75" customHeight="1">
      <c r="A117" s="16" t="s">
        <v>122</v>
      </c>
      <c r="B117" s="28">
        <v>-0.5</v>
      </c>
      <c r="C117" s="25" t="s">
        <v>109</v>
      </c>
      <c r="D117" s="29">
        <f t="shared" si="1"/>
        <v>0</v>
      </c>
    </row>
    <row r="118" ht="15.75" customHeight="1">
      <c r="A118" s="16" t="s">
        <v>123</v>
      </c>
      <c r="B118" s="28">
        <v>-1.0</v>
      </c>
      <c r="C118" s="25" t="s">
        <v>109</v>
      </c>
      <c r="D118" s="29">
        <f t="shared" si="1"/>
        <v>0</v>
      </c>
    </row>
    <row r="119" ht="15.75" customHeight="1">
      <c r="A119" s="21" t="s">
        <v>124</v>
      </c>
      <c r="B119" s="23"/>
      <c r="C119" s="23"/>
      <c r="D119" s="24">
        <f>SUM(D104:D118)</f>
        <v>-24.375</v>
      </c>
    </row>
    <row r="120" ht="15.75" customHeight="1">
      <c r="A120" s="2"/>
      <c r="B120" s="2"/>
      <c r="C120" s="2"/>
      <c r="D120" s="2"/>
    </row>
    <row r="121" ht="21.75" customHeight="1">
      <c r="A121" s="31" t="s">
        <v>125</v>
      </c>
      <c r="B121" s="32"/>
      <c r="C121" s="32"/>
      <c r="D121" s="33">
        <f>MAX(0,ROUND($D$91+$D$119,2))</f>
        <v>73.13</v>
      </c>
    </row>
    <row r="122" ht="15.75" customHeight="1">
      <c r="A122" s="2"/>
      <c r="B122" s="2"/>
      <c r="C122" s="2"/>
      <c r="D122" s="2"/>
    </row>
    <row r="123" ht="15.75" customHeight="1">
      <c r="A123" s="4" t="s">
        <v>126</v>
      </c>
      <c r="B123" s="2"/>
      <c r="C123" s="2"/>
      <c r="D123" s="2"/>
    </row>
    <row r="124" ht="18.0" customHeight="1">
      <c r="A124" s="34"/>
      <c r="B124" s="35"/>
      <c r="C124" s="35"/>
      <c r="D124" s="36"/>
    </row>
    <row r="125" ht="18.0" customHeight="1">
      <c r="A125" s="34"/>
      <c r="B125" s="35"/>
      <c r="C125" s="35"/>
      <c r="D125" s="36"/>
    </row>
    <row r="126" ht="18.0" customHeight="1">
      <c r="A126" s="34"/>
      <c r="B126" s="35"/>
      <c r="C126" s="35"/>
      <c r="D126" s="36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37" t="s">
        <v>127</v>
      </c>
      <c r="B129" s="2"/>
      <c r="C129" s="37" t="s">
        <v>127</v>
      </c>
      <c r="D129" s="2"/>
    </row>
    <row r="130" ht="15.75" customHeight="1">
      <c r="A130" s="37" t="s">
        <v>128</v>
      </c>
      <c r="B130" s="2"/>
      <c r="C130" s="37" t="s">
        <v>129</v>
      </c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mergeCells count="6">
    <mergeCell ref="A14:D14"/>
    <mergeCell ref="A15:D15"/>
    <mergeCell ref="A16:D16"/>
    <mergeCell ref="A124:D124"/>
    <mergeCell ref="A125:D125"/>
    <mergeCell ref="A126:D126"/>
  </mergeCells>
  <conditionalFormatting sqref="D19:D90">
    <cfRule type="cellIs" dxfId="0" priority="1" operator="greaterThan">
      <formula>B19</formula>
    </cfRule>
  </conditionalFormatting>
  <dataValidations>
    <dataValidation type="list" allowBlank="1" sqref="B95:B100 C104:C118">
      <formula1>"Sí,No"</formula1>
    </dataValidation>
  </dataValidations>
  <printOptions horizontalCentered="1"/>
  <pageMargins bottom="1.0" footer="0.0" header="0.0" left="0.75" right="0.75" top="1.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8.0" topLeftCell="A19" activePane="bottomLeft" state="frozen"/>
      <selection activeCell="B20" sqref="B20" pane="bottomLeft"/>
    </sheetView>
  </sheetViews>
  <sheetFormatPr customHeight="1" defaultColWidth="14.43" defaultRowHeight="15.0"/>
  <cols>
    <col customWidth="1" min="1" max="1" width="78.0"/>
    <col customWidth="1" min="2" max="2" width="11.0"/>
    <col customWidth="1" min="3" max="3" width="34.0"/>
    <col customWidth="1" min="4" max="4" width="11.0"/>
    <col customWidth="1" min="5" max="26" width="8.71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3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2"/>
      <c r="B7" s="2"/>
      <c r="C7" s="2"/>
      <c r="D7" s="2"/>
    </row>
    <row r="8">
      <c r="A8" s="3" t="s">
        <v>6</v>
      </c>
      <c r="B8" s="2"/>
      <c r="C8" s="2"/>
      <c r="D8" s="2"/>
    </row>
    <row r="9">
      <c r="A9" s="2"/>
      <c r="B9" s="2"/>
      <c r="C9" s="2"/>
      <c r="D9" s="2"/>
    </row>
    <row r="10">
      <c r="A10" s="4" t="s">
        <v>7</v>
      </c>
      <c r="B10" s="5"/>
      <c r="C10" s="2"/>
      <c r="D10" s="2"/>
    </row>
    <row r="11">
      <c r="A11" s="4" t="s">
        <v>8</v>
      </c>
      <c r="B11" s="6" t="s">
        <v>133</v>
      </c>
      <c r="C11" s="2"/>
      <c r="D11" s="2"/>
    </row>
    <row r="12">
      <c r="A12" s="4" t="s">
        <v>10</v>
      </c>
      <c r="B12" s="6">
        <v>2.02502481E8</v>
      </c>
      <c r="C12" s="2"/>
      <c r="D12" s="2"/>
    </row>
    <row r="13">
      <c r="A13" s="2"/>
      <c r="B13" s="2"/>
      <c r="C13" s="2"/>
      <c r="D13" s="2"/>
    </row>
    <row r="14" ht="25.5" customHeight="1">
      <c r="A14" s="8" t="s">
        <v>12</v>
      </c>
    </row>
    <row r="15" ht="25.5" customHeight="1">
      <c r="A15" s="8" t="s">
        <v>14</v>
      </c>
    </row>
    <row r="16" ht="25.5" customHeight="1">
      <c r="A16" s="8" t="s">
        <v>15</v>
      </c>
    </row>
    <row r="17">
      <c r="A17" s="2"/>
      <c r="B17" s="2"/>
      <c r="C17" s="2"/>
      <c r="D17" s="2"/>
    </row>
    <row r="18" ht="19.5" customHeight="1">
      <c r="A18" s="9" t="s">
        <v>16</v>
      </c>
      <c r="B18" s="9" t="s">
        <v>17</v>
      </c>
      <c r="C18" s="9" t="s">
        <v>18</v>
      </c>
      <c r="D18" s="9" t="s">
        <v>19</v>
      </c>
    </row>
    <row r="19" ht="19.5" customHeight="1">
      <c r="A19" s="10" t="s">
        <v>20</v>
      </c>
      <c r="B19" s="11">
        <f>B20+B25+B30</f>
        <v>25</v>
      </c>
      <c r="C19" s="10"/>
      <c r="D19" s="12">
        <f>D20+D25+D30</f>
        <v>25</v>
      </c>
    </row>
    <row r="20" ht="18.0" customHeight="1">
      <c r="A20" s="13" t="s">
        <v>21</v>
      </c>
      <c r="B20" s="14">
        <f>SUM(B21:B24)</f>
        <v>10</v>
      </c>
      <c r="C20" s="13"/>
      <c r="D20" s="15">
        <f>SUM(D21:D24)</f>
        <v>10</v>
      </c>
    </row>
    <row r="21" ht="15.0" customHeight="1">
      <c r="A21" s="16" t="s">
        <v>22</v>
      </c>
      <c r="B21" s="17">
        <v>3.0</v>
      </c>
      <c r="C21" s="18"/>
      <c r="D21" s="19">
        <v>3.0</v>
      </c>
    </row>
    <row r="22" ht="15.0" customHeight="1">
      <c r="A22" s="16" t="s">
        <v>23</v>
      </c>
      <c r="B22" s="17">
        <v>3.0</v>
      </c>
      <c r="C22" s="18"/>
      <c r="D22" s="19">
        <v>3.0</v>
      </c>
    </row>
    <row r="23" ht="15.0" customHeight="1">
      <c r="A23" s="16" t="s">
        <v>24</v>
      </c>
      <c r="B23" s="17">
        <v>2.0</v>
      </c>
      <c r="C23" s="18"/>
      <c r="D23" s="19">
        <v>2.0</v>
      </c>
    </row>
    <row r="24" ht="15.0" customHeight="1">
      <c r="A24" s="16" t="s">
        <v>25</v>
      </c>
      <c r="B24" s="17">
        <v>2.0</v>
      </c>
      <c r="C24" s="18"/>
      <c r="D24" s="19">
        <v>2.0</v>
      </c>
    </row>
    <row r="25" ht="18.0" customHeight="1">
      <c r="A25" s="13" t="s">
        <v>26</v>
      </c>
      <c r="B25" s="14">
        <f>SUM(B26:B29)</f>
        <v>10</v>
      </c>
      <c r="C25" s="13"/>
      <c r="D25" s="15">
        <f>SUM(D26:D29)</f>
        <v>10</v>
      </c>
    </row>
    <row r="26" ht="15.0" customHeight="1">
      <c r="A26" s="16" t="s">
        <v>27</v>
      </c>
      <c r="B26" s="17">
        <v>4.0</v>
      </c>
      <c r="C26" s="18"/>
      <c r="D26" s="19">
        <v>4.0</v>
      </c>
    </row>
    <row r="27" ht="15.0" customHeight="1">
      <c r="A27" s="16" t="s">
        <v>28</v>
      </c>
      <c r="B27" s="17">
        <v>2.0</v>
      </c>
      <c r="C27" s="18"/>
      <c r="D27" s="19">
        <v>2.0</v>
      </c>
    </row>
    <row r="28" ht="15.0" customHeight="1">
      <c r="A28" s="16" t="s">
        <v>29</v>
      </c>
      <c r="B28" s="17">
        <v>3.0</v>
      </c>
      <c r="C28" s="18"/>
      <c r="D28" s="19">
        <v>3.0</v>
      </c>
    </row>
    <row r="29" ht="15.0" customHeight="1">
      <c r="A29" s="16" t="s">
        <v>30</v>
      </c>
      <c r="B29" s="17">
        <v>1.0</v>
      </c>
      <c r="C29" s="18"/>
      <c r="D29" s="19">
        <v>1.0</v>
      </c>
    </row>
    <row r="30" ht="18.0" customHeight="1">
      <c r="A30" s="13" t="s">
        <v>31</v>
      </c>
      <c r="B30" s="14">
        <f>SUM(B31:B35)</f>
        <v>5</v>
      </c>
      <c r="C30" s="13"/>
      <c r="D30" s="15">
        <f>SUM(D31:D35)</f>
        <v>5</v>
      </c>
    </row>
    <row r="31" ht="15.0" customHeight="1">
      <c r="A31" s="16" t="s">
        <v>32</v>
      </c>
      <c r="B31" s="17">
        <v>1.0</v>
      </c>
      <c r="C31" s="18"/>
      <c r="D31" s="19">
        <v>1.0</v>
      </c>
    </row>
    <row r="32" ht="15.0" customHeight="1">
      <c r="A32" s="16" t="s">
        <v>33</v>
      </c>
      <c r="B32" s="17">
        <v>1.0</v>
      </c>
      <c r="C32" s="18"/>
      <c r="D32" s="19">
        <v>1.0</v>
      </c>
    </row>
    <row r="33" ht="15.0" customHeight="1">
      <c r="A33" s="16" t="s">
        <v>34</v>
      </c>
      <c r="B33" s="17">
        <v>1.0</v>
      </c>
      <c r="C33" s="18"/>
      <c r="D33" s="19">
        <v>1.0</v>
      </c>
    </row>
    <row r="34" ht="15.0" customHeight="1">
      <c r="A34" s="16" t="s">
        <v>35</v>
      </c>
      <c r="B34" s="17">
        <v>1.0</v>
      </c>
      <c r="C34" s="18"/>
      <c r="D34" s="19">
        <v>1.0</v>
      </c>
    </row>
    <row r="35" ht="15.0" customHeight="1">
      <c r="A35" s="16" t="s">
        <v>36</v>
      </c>
      <c r="B35" s="17">
        <v>1.0</v>
      </c>
      <c r="C35" s="18"/>
      <c r="D35" s="19">
        <v>1.0</v>
      </c>
    </row>
    <row r="36" ht="19.5" customHeight="1">
      <c r="A36" s="10" t="s">
        <v>37</v>
      </c>
      <c r="B36" s="11">
        <f>B37+B43+B55+B61+B67+B72+B78</f>
        <v>55</v>
      </c>
      <c r="C36" s="10"/>
      <c r="D36" s="12">
        <f>D37+D43+D55+D61+D67+D72+D78</f>
        <v>55</v>
      </c>
    </row>
    <row r="37" ht="18.0" customHeight="1">
      <c r="A37" s="13" t="s">
        <v>38</v>
      </c>
      <c r="B37" s="14">
        <f>SUM(B38:B42)</f>
        <v>5</v>
      </c>
      <c r="C37" s="13"/>
      <c r="D37" s="15">
        <f>SUM(D38:D42)</f>
        <v>5</v>
      </c>
    </row>
    <row r="38" ht="15.0" customHeight="1">
      <c r="A38" s="16" t="s">
        <v>39</v>
      </c>
      <c r="B38" s="17">
        <v>1.0</v>
      </c>
      <c r="C38" s="18"/>
      <c r="D38" s="19">
        <v>1.0</v>
      </c>
    </row>
    <row r="39" ht="15.0" customHeight="1">
      <c r="A39" s="16" t="s">
        <v>40</v>
      </c>
      <c r="B39" s="17">
        <v>1.0</v>
      </c>
      <c r="C39" s="18"/>
      <c r="D39" s="19">
        <v>1.0</v>
      </c>
    </row>
    <row r="40" ht="15.0" customHeight="1">
      <c r="A40" s="16" t="s">
        <v>41</v>
      </c>
      <c r="B40" s="17">
        <v>1.0</v>
      </c>
      <c r="C40" s="18"/>
      <c r="D40" s="19">
        <v>1.0</v>
      </c>
    </row>
    <row r="41" ht="15.0" customHeight="1">
      <c r="A41" s="16" t="s">
        <v>42</v>
      </c>
      <c r="B41" s="17">
        <v>1.0</v>
      </c>
      <c r="C41" s="18"/>
      <c r="D41" s="19">
        <v>1.0</v>
      </c>
    </row>
    <row r="42" ht="15.0" customHeight="1">
      <c r="A42" s="16" t="s">
        <v>43</v>
      </c>
      <c r="B42" s="17">
        <v>1.0</v>
      </c>
      <c r="C42" s="18"/>
      <c r="D42" s="19">
        <v>1.0</v>
      </c>
    </row>
    <row r="43" ht="18.0" customHeight="1">
      <c r="A43" s="13" t="s">
        <v>44</v>
      </c>
      <c r="B43" s="14">
        <f>SUM(B44:B54)</f>
        <v>15</v>
      </c>
      <c r="C43" s="13"/>
      <c r="D43" s="15">
        <f>SUM(D44:D54)</f>
        <v>15</v>
      </c>
    </row>
    <row r="44" ht="15.0" customHeight="1">
      <c r="A44" s="16" t="s">
        <v>45</v>
      </c>
      <c r="B44" s="17">
        <v>2.0</v>
      </c>
      <c r="C44" s="18"/>
      <c r="D44" s="19">
        <v>2.0</v>
      </c>
    </row>
    <row r="45" ht="15.0" customHeight="1">
      <c r="A45" s="16" t="s">
        <v>46</v>
      </c>
      <c r="B45" s="17">
        <v>1.0</v>
      </c>
      <c r="C45" s="18"/>
      <c r="D45" s="19">
        <v>1.0</v>
      </c>
    </row>
    <row r="46" ht="15.0" customHeight="1">
      <c r="A46" s="16" t="s">
        <v>47</v>
      </c>
      <c r="B46" s="17">
        <v>1.0</v>
      </c>
      <c r="C46" s="18"/>
      <c r="D46" s="19">
        <v>1.0</v>
      </c>
    </row>
    <row r="47" ht="15.0" customHeight="1">
      <c r="A47" s="16" t="s">
        <v>48</v>
      </c>
      <c r="B47" s="17">
        <v>1.0</v>
      </c>
      <c r="C47" s="18"/>
      <c r="D47" s="19">
        <v>1.0</v>
      </c>
    </row>
    <row r="48" ht="15.0" customHeight="1">
      <c r="A48" s="16" t="s">
        <v>49</v>
      </c>
      <c r="B48" s="17">
        <v>2.0</v>
      </c>
      <c r="C48" s="18"/>
      <c r="D48" s="19">
        <v>2.0</v>
      </c>
    </row>
    <row r="49" ht="15.0" customHeight="1">
      <c r="A49" s="16" t="s">
        <v>50</v>
      </c>
      <c r="B49" s="17">
        <v>2.0</v>
      </c>
      <c r="C49" s="18"/>
      <c r="D49" s="19">
        <v>2.0</v>
      </c>
    </row>
    <row r="50" ht="15.0" customHeight="1">
      <c r="A50" s="16" t="s">
        <v>51</v>
      </c>
      <c r="B50" s="17">
        <v>1.0</v>
      </c>
      <c r="C50" s="18"/>
      <c r="D50" s="19">
        <v>1.0</v>
      </c>
    </row>
    <row r="51" ht="15.0" customHeight="1">
      <c r="A51" s="16" t="s">
        <v>52</v>
      </c>
      <c r="B51" s="17">
        <v>1.0</v>
      </c>
      <c r="C51" s="18"/>
      <c r="D51" s="19">
        <v>1.0</v>
      </c>
    </row>
    <row r="52" ht="15.0" customHeight="1">
      <c r="A52" s="16" t="s">
        <v>53</v>
      </c>
      <c r="B52" s="17">
        <v>2.0</v>
      </c>
      <c r="C52" s="18"/>
      <c r="D52" s="19">
        <v>2.0</v>
      </c>
    </row>
    <row r="53" ht="15.0" customHeight="1">
      <c r="A53" s="16" t="s">
        <v>54</v>
      </c>
      <c r="B53" s="17">
        <v>1.0</v>
      </c>
      <c r="C53" s="18"/>
      <c r="D53" s="19">
        <v>1.0</v>
      </c>
    </row>
    <row r="54" ht="15.0" customHeight="1">
      <c r="A54" s="16" t="s">
        <v>55</v>
      </c>
      <c r="B54" s="17">
        <v>1.0</v>
      </c>
      <c r="C54" s="18"/>
      <c r="D54" s="19">
        <v>1.0</v>
      </c>
    </row>
    <row r="55" ht="18.0" customHeight="1">
      <c r="A55" s="13" t="s">
        <v>56</v>
      </c>
      <c r="B55" s="14">
        <f>SUM(B56:B60)</f>
        <v>8</v>
      </c>
      <c r="C55" s="13"/>
      <c r="D55" s="15">
        <f>SUM(D56:D60)</f>
        <v>8</v>
      </c>
    </row>
    <row r="56" ht="15.0" customHeight="1">
      <c r="A56" s="16" t="s">
        <v>57</v>
      </c>
      <c r="B56" s="17">
        <v>1.0</v>
      </c>
      <c r="C56" s="18"/>
      <c r="D56" s="19">
        <v>1.0</v>
      </c>
    </row>
    <row r="57" ht="15.0" customHeight="1">
      <c r="A57" s="16" t="s">
        <v>58</v>
      </c>
      <c r="B57" s="17">
        <v>2.0</v>
      </c>
      <c r="C57" s="18"/>
      <c r="D57" s="19">
        <v>2.0</v>
      </c>
    </row>
    <row r="58" ht="15.0" customHeight="1">
      <c r="A58" s="16" t="s">
        <v>59</v>
      </c>
      <c r="B58" s="17">
        <v>2.0</v>
      </c>
      <c r="C58" s="18"/>
      <c r="D58" s="19">
        <v>2.0</v>
      </c>
    </row>
    <row r="59" ht="15.0" customHeight="1">
      <c r="A59" s="16" t="s">
        <v>60</v>
      </c>
      <c r="B59" s="17">
        <v>2.0</v>
      </c>
      <c r="C59" s="18"/>
      <c r="D59" s="19">
        <v>2.0</v>
      </c>
    </row>
    <row r="60" ht="15.0" customHeight="1">
      <c r="A60" s="16" t="s">
        <v>61</v>
      </c>
      <c r="B60" s="17">
        <v>1.0</v>
      </c>
      <c r="C60" s="18"/>
      <c r="D60" s="19">
        <v>1.0</v>
      </c>
    </row>
    <row r="61" ht="18.0" customHeight="1">
      <c r="A61" s="13" t="s">
        <v>62</v>
      </c>
      <c r="B61" s="14">
        <f>SUM(B62:B66)</f>
        <v>8</v>
      </c>
      <c r="C61" s="13"/>
      <c r="D61" s="15">
        <f>SUM(D62:D66)</f>
        <v>8</v>
      </c>
    </row>
    <row r="62" ht="15.0" customHeight="1">
      <c r="A62" s="16" t="s">
        <v>63</v>
      </c>
      <c r="B62" s="17">
        <v>2.0</v>
      </c>
      <c r="C62" s="18"/>
      <c r="D62" s="19">
        <v>2.0</v>
      </c>
    </row>
    <row r="63" ht="15.0" customHeight="1">
      <c r="A63" s="16" t="s">
        <v>64</v>
      </c>
      <c r="B63" s="17">
        <v>2.0</v>
      </c>
      <c r="C63" s="18"/>
      <c r="D63" s="19">
        <v>2.0</v>
      </c>
    </row>
    <row r="64" ht="15.0" customHeight="1">
      <c r="A64" s="16" t="s">
        <v>65</v>
      </c>
      <c r="B64" s="17">
        <v>1.0</v>
      </c>
      <c r="C64" s="18"/>
      <c r="D64" s="19">
        <v>1.0</v>
      </c>
    </row>
    <row r="65" ht="15.0" customHeight="1">
      <c r="A65" s="16" t="s">
        <v>66</v>
      </c>
      <c r="B65" s="17">
        <v>2.0</v>
      </c>
      <c r="C65" s="18"/>
      <c r="D65" s="19">
        <v>2.0</v>
      </c>
    </row>
    <row r="66" ht="15.0" customHeight="1">
      <c r="A66" s="16" t="s">
        <v>67</v>
      </c>
      <c r="B66" s="17">
        <v>1.0</v>
      </c>
      <c r="C66" s="18"/>
      <c r="D66" s="19">
        <v>1.0</v>
      </c>
    </row>
    <row r="67" ht="18.0" customHeight="1">
      <c r="A67" s="13" t="s">
        <v>68</v>
      </c>
      <c r="B67" s="14">
        <f>SUM(B68:B71)</f>
        <v>5</v>
      </c>
      <c r="C67" s="13"/>
      <c r="D67" s="15">
        <f>SUM(D68:D71)</f>
        <v>5</v>
      </c>
    </row>
    <row r="68" ht="15.0" customHeight="1">
      <c r="A68" s="16" t="s">
        <v>69</v>
      </c>
      <c r="B68" s="17">
        <v>1.0</v>
      </c>
      <c r="C68" s="18"/>
      <c r="D68" s="19">
        <v>1.0</v>
      </c>
    </row>
    <row r="69" ht="15.0" customHeight="1">
      <c r="A69" s="16" t="s">
        <v>70</v>
      </c>
      <c r="B69" s="17">
        <v>2.0</v>
      </c>
      <c r="C69" s="18"/>
      <c r="D69" s="19">
        <v>2.0</v>
      </c>
    </row>
    <row r="70" ht="15.0" customHeight="1">
      <c r="A70" s="16" t="s">
        <v>71</v>
      </c>
      <c r="B70" s="17">
        <v>1.0</v>
      </c>
      <c r="C70" s="18"/>
      <c r="D70" s="19">
        <v>1.0</v>
      </c>
    </row>
    <row r="71" ht="15.0" customHeight="1">
      <c r="A71" s="16" t="s">
        <v>72</v>
      </c>
      <c r="B71" s="17">
        <v>1.0</v>
      </c>
      <c r="C71" s="18"/>
      <c r="D71" s="19">
        <v>1.0</v>
      </c>
    </row>
    <row r="72" ht="18.0" customHeight="1">
      <c r="A72" s="13" t="s">
        <v>73</v>
      </c>
      <c r="B72" s="14">
        <f>SUM(B73:B77)</f>
        <v>8</v>
      </c>
      <c r="C72" s="13"/>
      <c r="D72" s="15">
        <f>SUM(D73:D77)</f>
        <v>8</v>
      </c>
    </row>
    <row r="73" ht="15.0" customHeight="1">
      <c r="A73" s="16" t="s">
        <v>74</v>
      </c>
      <c r="B73" s="17">
        <v>2.0</v>
      </c>
      <c r="C73" s="18"/>
      <c r="D73" s="19">
        <v>2.0</v>
      </c>
    </row>
    <row r="74" ht="15.0" customHeight="1">
      <c r="A74" s="16" t="s">
        <v>75</v>
      </c>
      <c r="B74" s="17">
        <v>2.0</v>
      </c>
      <c r="C74" s="18"/>
      <c r="D74" s="19">
        <v>2.0</v>
      </c>
    </row>
    <row r="75" ht="15.0" customHeight="1">
      <c r="A75" s="16" t="s">
        <v>76</v>
      </c>
      <c r="B75" s="17">
        <v>1.0</v>
      </c>
      <c r="C75" s="18"/>
      <c r="D75" s="19">
        <v>1.0</v>
      </c>
    </row>
    <row r="76" ht="15.0" customHeight="1">
      <c r="A76" s="16" t="s">
        <v>77</v>
      </c>
      <c r="B76" s="17">
        <v>2.0</v>
      </c>
      <c r="C76" s="18"/>
      <c r="D76" s="19">
        <v>2.0</v>
      </c>
    </row>
    <row r="77" ht="15.0" customHeight="1">
      <c r="A77" s="16" t="s">
        <v>78</v>
      </c>
      <c r="B77" s="17">
        <v>1.0</v>
      </c>
      <c r="C77" s="18"/>
      <c r="D77" s="19">
        <v>1.0</v>
      </c>
    </row>
    <row r="78" ht="18.0" customHeight="1">
      <c r="A78" s="13" t="s">
        <v>79</v>
      </c>
      <c r="B78" s="14">
        <f>SUM(B79:B82)</f>
        <v>6</v>
      </c>
      <c r="C78" s="13"/>
      <c r="D78" s="15">
        <f>SUM(D79:D82)</f>
        <v>6</v>
      </c>
    </row>
    <row r="79" ht="15.0" customHeight="1">
      <c r="A79" s="16" t="s">
        <v>80</v>
      </c>
      <c r="B79" s="17">
        <v>2.0</v>
      </c>
      <c r="C79" s="18"/>
      <c r="D79" s="19">
        <v>2.0</v>
      </c>
    </row>
    <row r="80" ht="15.0" customHeight="1">
      <c r="A80" s="16" t="s">
        <v>81</v>
      </c>
      <c r="B80" s="17">
        <v>1.0</v>
      </c>
      <c r="C80" s="18"/>
      <c r="D80" s="19">
        <v>1.0</v>
      </c>
    </row>
    <row r="81" ht="15.0" customHeight="1">
      <c r="A81" s="16" t="s">
        <v>82</v>
      </c>
      <c r="B81" s="17">
        <v>2.0</v>
      </c>
      <c r="C81" s="18"/>
      <c r="D81" s="19">
        <v>2.0</v>
      </c>
    </row>
    <row r="82" ht="15.0" customHeight="1">
      <c r="A82" s="16" t="s">
        <v>83</v>
      </c>
      <c r="B82" s="17">
        <v>1.0</v>
      </c>
      <c r="C82" s="18"/>
      <c r="D82" s="19">
        <v>1.0</v>
      </c>
    </row>
    <row r="83" ht="19.5" customHeight="1">
      <c r="A83" s="10" t="s">
        <v>84</v>
      </c>
      <c r="B83" s="11">
        <f>B84+B87</f>
        <v>20</v>
      </c>
      <c r="C83" s="10"/>
      <c r="D83" s="12">
        <f>D84+D87</f>
        <v>2.5</v>
      </c>
    </row>
    <row r="84" ht="18.0" customHeight="1">
      <c r="A84" s="13" t="s">
        <v>85</v>
      </c>
      <c r="B84" s="14">
        <f>SUM(B85:B86)</f>
        <v>5</v>
      </c>
      <c r="C84" s="13"/>
      <c r="D84" s="15">
        <f>SUM(D85:D86)</f>
        <v>2.5</v>
      </c>
    </row>
    <row r="85" ht="15.0" customHeight="1">
      <c r="A85" s="16" t="s">
        <v>86</v>
      </c>
      <c r="B85" s="17">
        <v>2.5</v>
      </c>
      <c r="C85" s="18"/>
      <c r="D85" s="30">
        <v>2.5</v>
      </c>
    </row>
    <row r="86" ht="15.0" customHeight="1">
      <c r="A86" s="16" t="s">
        <v>87</v>
      </c>
      <c r="B86" s="17">
        <v>2.5</v>
      </c>
      <c r="C86" s="18"/>
      <c r="D86" s="19">
        <v>0.0</v>
      </c>
    </row>
    <row r="87" ht="18.0" customHeight="1">
      <c r="A87" s="13" t="s">
        <v>88</v>
      </c>
      <c r="B87" s="14">
        <f>SUM(B88:B90)</f>
        <v>15</v>
      </c>
      <c r="C87" s="13"/>
      <c r="D87" s="15">
        <f>SUM(D88:D90)</f>
        <v>0</v>
      </c>
    </row>
    <row r="88" ht="15.0" customHeight="1">
      <c r="A88" s="16" t="s">
        <v>89</v>
      </c>
      <c r="B88" s="17">
        <v>5.0</v>
      </c>
      <c r="C88" s="18"/>
      <c r="D88" s="19">
        <v>0.0</v>
      </c>
    </row>
    <row r="89" ht="15.0" customHeight="1">
      <c r="A89" s="16" t="s">
        <v>90</v>
      </c>
      <c r="B89" s="17">
        <v>5.0</v>
      </c>
      <c r="C89" s="18"/>
      <c r="D89" s="19">
        <v>0.0</v>
      </c>
    </row>
    <row r="90" ht="15.0" customHeight="1">
      <c r="A90" s="16" t="s">
        <v>91</v>
      </c>
      <c r="B90" s="17">
        <v>5.0</v>
      </c>
      <c r="C90" s="18"/>
      <c r="D90" s="19">
        <v>0.0</v>
      </c>
    </row>
    <row r="91" ht="19.5" customHeight="1">
      <c r="A91" s="21" t="s">
        <v>92</v>
      </c>
      <c r="B91" s="22">
        <f>B19+B36+B83</f>
        <v>100</v>
      </c>
      <c r="C91" s="23"/>
      <c r="D91" s="24">
        <f>D19+D36+D83</f>
        <v>82.5</v>
      </c>
    </row>
    <row r="92" ht="15.75" customHeight="1">
      <c r="A92" s="2"/>
      <c r="B92" s="2"/>
      <c r="C92" s="2"/>
      <c r="D92" s="2"/>
    </row>
    <row r="93" ht="15.75" customHeight="1">
      <c r="A93" s="1" t="s">
        <v>93</v>
      </c>
      <c r="B93" s="2"/>
      <c r="C93" s="2"/>
      <c r="D93" s="2"/>
    </row>
    <row r="94" ht="15.75" customHeight="1">
      <c r="A94" s="9" t="s">
        <v>94</v>
      </c>
      <c r="B94" s="9" t="s">
        <v>95</v>
      </c>
      <c r="C94" s="9" t="s">
        <v>18</v>
      </c>
      <c r="D94" s="9"/>
    </row>
    <row r="95" ht="15.75" customHeight="1">
      <c r="A95" s="16" t="s">
        <v>96</v>
      </c>
      <c r="B95" s="25" t="s">
        <v>97</v>
      </c>
      <c r="C95" s="26"/>
      <c r="D95" s="27"/>
    </row>
    <row r="96" ht="15.75" customHeight="1">
      <c r="A96" s="16" t="s">
        <v>98</v>
      </c>
      <c r="B96" s="25" t="s">
        <v>97</v>
      </c>
      <c r="C96" s="26"/>
      <c r="D96" s="27"/>
    </row>
    <row r="97" ht="15.75" customHeight="1">
      <c r="A97" s="16" t="s">
        <v>99</v>
      </c>
      <c r="B97" s="25" t="s">
        <v>97</v>
      </c>
      <c r="C97" s="26"/>
      <c r="D97" s="27"/>
    </row>
    <row r="98" ht="15.75" customHeight="1">
      <c r="A98" s="16" t="s">
        <v>100</v>
      </c>
      <c r="B98" s="25" t="s">
        <v>97</v>
      </c>
      <c r="C98" s="26"/>
      <c r="D98" s="27"/>
    </row>
    <row r="99" ht="15.75" customHeight="1">
      <c r="A99" s="16" t="s">
        <v>101</v>
      </c>
      <c r="B99" s="25" t="s">
        <v>97</v>
      </c>
      <c r="C99" s="26"/>
      <c r="D99" s="27"/>
    </row>
    <row r="100" ht="15.75" customHeight="1">
      <c r="A100" s="16" t="s">
        <v>102</v>
      </c>
      <c r="B100" s="25" t="s">
        <v>97</v>
      </c>
      <c r="C100" s="26"/>
      <c r="D100" s="27"/>
    </row>
    <row r="101" ht="15.75" customHeight="1">
      <c r="A101" s="2"/>
      <c r="B101" s="2"/>
      <c r="C101" s="2"/>
      <c r="D101" s="2"/>
    </row>
    <row r="102" ht="15.75" customHeight="1">
      <c r="A102" s="1" t="s">
        <v>103</v>
      </c>
      <c r="B102" s="2"/>
      <c r="C102" s="2"/>
      <c r="D102" s="2"/>
    </row>
    <row r="103" ht="15.75" customHeight="1">
      <c r="A103" s="9" t="s">
        <v>104</v>
      </c>
      <c r="B103" s="9" t="s">
        <v>105</v>
      </c>
      <c r="C103" s="9" t="s">
        <v>106</v>
      </c>
      <c r="D103" s="9" t="s">
        <v>107</v>
      </c>
    </row>
    <row r="104" ht="15.75" customHeight="1">
      <c r="A104" s="16" t="s">
        <v>108</v>
      </c>
      <c r="B104" s="28">
        <v>-0.3</v>
      </c>
      <c r="C104" s="25" t="s">
        <v>109</v>
      </c>
      <c r="D104" s="29">
        <f t="shared" ref="D104:D118" si="1">IF(C104="Sí",$D$91*B104,0)</f>
        <v>0</v>
      </c>
    </row>
    <row r="105" ht="15.75" customHeight="1">
      <c r="A105" s="16" t="s">
        <v>110</v>
      </c>
      <c r="B105" s="28">
        <v>-0.2</v>
      </c>
      <c r="C105" s="25" t="s">
        <v>109</v>
      </c>
      <c r="D105" s="29">
        <f t="shared" si="1"/>
        <v>0</v>
      </c>
    </row>
    <row r="106" ht="15.75" customHeight="1">
      <c r="A106" s="16" t="s">
        <v>111</v>
      </c>
      <c r="B106" s="28">
        <v>-1.0</v>
      </c>
      <c r="C106" s="25" t="s">
        <v>109</v>
      </c>
      <c r="D106" s="29">
        <f t="shared" si="1"/>
        <v>0</v>
      </c>
    </row>
    <row r="107" ht="15.75" customHeight="1">
      <c r="A107" s="16" t="s">
        <v>112</v>
      </c>
      <c r="B107" s="28">
        <v>-1.0</v>
      </c>
      <c r="C107" s="25" t="s">
        <v>109</v>
      </c>
      <c r="D107" s="29">
        <f t="shared" si="1"/>
        <v>0</v>
      </c>
    </row>
    <row r="108" ht="15.75" customHeight="1">
      <c r="A108" s="16" t="s">
        <v>113</v>
      </c>
      <c r="B108" s="28">
        <v>-0.75</v>
      </c>
      <c r="C108" s="25" t="s">
        <v>109</v>
      </c>
      <c r="D108" s="29">
        <f t="shared" si="1"/>
        <v>0</v>
      </c>
    </row>
    <row r="109" ht="15.75" customHeight="1">
      <c r="A109" s="16" t="s">
        <v>114</v>
      </c>
      <c r="B109" s="28">
        <v>-0.75</v>
      </c>
      <c r="C109" s="25" t="s">
        <v>109</v>
      </c>
      <c r="D109" s="29">
        <f t="shared" si="1"/>
        <v>0</v>
      </c>
    </row>
    <row r="110" ht="15.75" customHeight="1">
      <c r="A110" s="16" t="s">
        <v>115</v>
      </c>
      <c r="B110" s="28">
        <v>-0.9</v>
      </c>
      <c r="C110" s="25" t="s">
        <v>109</v>
      </c>
      <c r="D110" s="29">
        <f t="shared" si="1"/>
        <v>0</v>
      </c>
    </row>
    <row r="111" ht="15.75" customHeight="1">
      <c r="A111" s="16" t="s">
        <v>116</v>
      </c>
      <c r="B111" s="28">
        <v>-0.5</v>
      </c>
      <c r="C111" s="25" t="s">
        <v>109</v>
      </c>
      <c r="D111" s="29">
        <f t="shared" si="1"/>
        <v>0</v>
      </c>
    </row>
    <row r="112" ht="15.75" customHeight="1">
      <c r="A112" s="16" t="s">
        <v>117</v>
      </c>
      <c r="B112" s="28">
        <v>-0.5</v>
      </c>
      <c r="C112" s="25" t="s">
        <v>109</v>
      </c>
      <c r="D112" s="29">
        <f t="shared" si="1"/>
        <v>0</v>
      </c>
    </row>
    <row r="113" ht="15.75" customHeight="1">
      <c r="A113" s="16" t="s">
        <v>118</v>
      </c>
      <c r="B113" s="28">
        <v>-1.0</v>
      </c>
      <c r="C113" s="25" t="s">
        <v>109</v>
      </c>
      <c r="D113" s="29">
        <f t="shared" si="1"/>
        <v>0</v>
      </c>
    </row>
    <row r="114" ht="15.75" customHeight="1">
      <c r="A114" s="16" t="s">
        <v>119</v>
      </c>
      <c r="B114" s="28">
        <v>-0.25</v>
      </c>
      <c r="C114" s="25" t="s">
        <v>109</v>
      </c>
      <c r="D114" s="29">
        <f t="shared" si="1"/>
        <v>0</v>
      </c>
    </row>
    <row r="115" ht="15.75" customHeight="1">
      <c r="A115" s="16" t="s">
        <v>120</v>
      </c>
      <c r="B115" s="28">
        <v>-1.0</v>
      </c>
      <c r="C115" s="25" t="s">
        <v>109</v>
      </c>
      <c r="D115" s="29">
        <f t="shared" si="1"/>
        <v>0</v>
      </c>
    </row>
    <row r="116" ht="15.75" customHeight="1">
      <c r="A116" s="16" t="s">
        <v>121</v>
      </c>
      <c r="B116" s="28">
        <v>-1.0</v>
      </c>
      <c r="C116" s="25" t="s">
        <v>109</v>
      </c>
      <c r="D116" s="29">
        <f t="shared" si="1"/>
        <v>0</v>
      </c>
    </row>
    <row r="117" ht="15.75" customHeight="1">
      <c r="A117" s="16" t="s">
        <v>122</v>
      </c>
      <c r="B117" s="28">
        <v>-0.5</v>
      </c>
      <c r="C117" s="30" t="s">
        <v>97</v>
      </c>
      <c r="D117" s="29">
        <f t="shared" si="1"/>
        <v>-41.25</v>
      </c>
    </row>
    <row r="118" ht="15.75" customHeight="1">
      <c r="A118" s="16" t="s">
        <v>123</v>
      </c>
      <c r="B118" s="28">
        <v>-1.0</v>
      </c>
      <c r="C118" s="25" t="s">
        <v>109</v>
      </c>
      <c r="D118" s="29">
        <f t="shared" si="1"/>
        <v>0</v>
      </c>
    </row>
    <row r="119" ht="15.75" customHeight="1">
      <c r="A119" s="21" t="s">
        <v>124</v>
      </c>
      <c r="B119" s="23"/>
      <c r="C119" s="23"/>
      <c r="D119" s="24">
        <f>SUM(D104:D118)</f>
        <v>-41.25</v>
      </c>
    </row>
    <row r="120" ht="15.75" customHeight="1">
      <c r="A120" s="2"/>
      <c r="B120" s="2"/>
      <c r="C120" s="2"/>
      <c r="D120" s="2"/>
    </row>
    <row r="121" ht="21.75" customHeight="1">
      <c r="A121" s="31" t="s">
        <v>125</v>
      </c>
      <c r="B121" s="32"/>
      <c r="C121" s="32"/>
      <c r="D121" s="33">
        <f>MAX(0,ROUND($D$91+$D$119,2))</f>
        <v>41.25</v>
      </c>
    </row>
    <row r="122" ht="15.75" customHeight="1">
      <c r="A122" s="2"/>
      <c r="B122" s="2"/>
      <c r="C122" s="2"/>
      <c r="D122" s="2"/>
    </row>
    <row r="123" ht="15.75" customHeight="1">
      <c r="A123" s="4" t="s">
        <v>126</v>
      </c>
      <c r="B123" s="2"/>
      <c r="C123" s="2"/>
      <c r="D123" s="2"/>
    </row>
    <row r="124" ht="18.0" customHeight="1">
      <c r="A124" s="34"/>
      <c r="B124" s="35"/>
      <c r="C124" s="35"/>
      <c r="D124" s="36"/>
    </row>
    <row r="125" ht="18.0" customHeight="1">
      <c r="A125" s="34"/>
      <c r="B125" s="35"/>
      <c r="C125" s="35"/>
      <c r="D125" s="36"/>
    </row>
    <row r="126" ht="18.0" customHeight="1">
      <c r="A126" s="34"/>
      <c r="B126" s="35"/>
      <c r="C126" s="35"/>
      <c r="D126" s="36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37" t="s">
        <v>127</v>
      </c>
      <c r="B129" s="2"/>
      <c r="C129" s="37" t="s">
        <v>127</v>
      </c>
      <c r="D129" s="2"/>
    </row>
    <row r="130" ht="15.75" customHeight="1">
      <c r="A130" s="37" t="s">
        <v>128</v>
      </c>
      <c r="B130" s="2"/>
      <c r="C130" s="37" t="s">
        <v>129</v>
      </c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mergeCells count="6">
    <mergeCell ref="A14:D14"/>
    <mergeCell ref="A15:D15"/>
    <mergeCell ref="A16:D16"/>
    <mergeCell ref="A124:D124"/>
    <mergeCell ref="A125:D125"/>
    <mergeCell ref="A126:D126"/>
  </mergeCells>
  <conditionalFormatting sqref="D19:D90">
    <cfRule type="cellIs" dxfId="0" priority="1" operator="greaterThan">
      <formula>B19</formula>
    </cfRule>
  </conditionalFormatting>
  <dataValidations>
    <dataValidation type="list" allowBlank="1" sqref="B95:B100 C104:C118">
      <formula1>"Sí,No"</formula1>
    </dataValidation>
  </dataValidations>
  <printOptions horizontalCentered="1"/>
  <pageMargins bottom="1.0" footer="0.0" header="0.0" left="0.75" right="0.75" top="1.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8.0" topLeftCell="A19" activePane="bottomLeft" state="frozen"/>
      <selection activeCell="B20" sqref="B20" pane="bottomLeft"/>
    </sheetView>
  </sheetViews>
  <sheetFormatPr customHeight="1" defaultColWidth="14.43" defaultRowHeight="15.0"/>
  <cols>
    <col customWidth="1" min="1" max="1" width="78.0"/>
    <col customWidth="1" min="2" max="2" width="11.0"/>
    <col customWidth="1" min="3" max="3" width="34.0"/>
    <col customWidth="1" min="4" max="4" width="11.0"/>
    <col customWidth="1" min="5" max="26" width="8.71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3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2"/>
      <c r="B7" s="2"/>
      <c r="C7" s="2"/>
      <c r="D7" s="2"/>
    </row>
    <row r="8">
      <c r="A8" s="3" t="s">
        <v>6</v>
      </c>
      <c r="B8" s="2"/>
      <c r="C8" s="2"/>
      <c r="D8" s="2"/>
    </row>
    <row r="9">
      <c r="A9" s="2"/>
      <c r="B9" s="2"/>
      <c r="C9" s="2"/>
      <c r="D9" s="2"/>
    </row>
    <row r="10">
      <c r="A10" s="4" t="s">
        <v>7</v>
      </c>
      <c r="B10" s="5"/>
      <c r="C10" s="2"/>
      <c r="D10" s="2"/>
    </row>
    <row r="11">
      <c r="A11" s="4" t="s">
        <v>8</v>
      </c>
      <c r="B11" s="6" t="s">
        <v>134</v>
      </c>
      <c r="C11" s="2"/>
      <c r="D11" s="2"/>
    </row>
    <row r="12">
      <c r="A12" s="4" t="s">
        <v>10</v>
      </c>
      <c r="B12" s="6">
        <v>2.02406816E8</v>
      </c>
      <c r="C12" s="2"/>
      <c r="D12" s="2"/>
    </row>
    <row r="13">
      <c r="A13" s="2"/>
      <c r="B13" s="2"/>
      <c r="C13" s="2"/>
      <c r="D13" s="2"/>
    </row>
    <row r="14" ht="25.5" customHeight="1">
      <c r="A14" s="8" t="s">
        <v>12</v>
      </c>
    </row>
    <row r="15" ht="25.5" customHeight="1">
      <c r="A15" s="8" t="s">
        <v>14</v>
      </c>
    </row>
    <row r="16" ht="25.5" customHeight="1">
      <c r="A16" s="8" t="s">
        <v>15</v>
      </c>
    </row>
    <row r="17">
      <c r="A17" s="2"/>
      <c r="B17" s="2"/>
      <c r="C17" s="2"/>
      <c r="D17" s="2"/>
    </row>
    <row r="18" ht="19.5" customHeight="1">
      <c r="A18" s="9" t="s">
        <v>16</v>
      </c>
      <c r="B18" s="9" t="s">
        <v>17</v>
      </c>
      <c r="C18" s="9" t="s">
        <v>18</v>
      </c>
      <c r="D18" s="9" t="s">
        <v>19</v>
      </c>
    </row>
    <row r="19" ht="19.5" customHeight="1">
      <c r="A19" s="10" t="s">
        <v>20</v>
      </c>
      <c r="B19" s="11">
        <f>B20+B25+B30</f>
        <v>25</v>
      </c>
      <c r="C19" s="10"/>
      <c r="D19" s="12">
        <f>D20+D25+D30</f>
        <v>25</v>
      </c>
    </row>
    <row r="20" ht="18.0" customHeight="1">
      <c r="A20" s="13" t="s">
        <v>21</v>
      </c>
      <c r="B20" s="14">
        <f>SUM(B21:B24)</f>
        <v>10</v>
      </c>
      <c r="C20" s="13"/>
      <c r="D20" s="15">
        <f>SUM(D21:D24)</f>
        <v>10</v>
      </c>
    </row>
    <row r="21" ht="15.0" customHeight="1">
      <c r="A21" s="16" t="s">
        <v>22</v>
      </c>
      <c r="B21" s="17">
        <v>3.0</v>
      </c>
      <c r="C21" s="18"/>
      <c r="D21" s="19">
        <v>3.0</v>
      </c>
    </row>
    <row r="22" ht="15.0" customHeight="1">
      <c r="A22" s="16" t="s">
        <v>23</v>
      </c>
      <c r="B22" s="17">
        <v>3.0</v>
      </c>
      <c r="C22" s="18"/>
      <c r="D22" s="19">
        <v>3.0</v>
      </c>
    </row>
    <row r="23" ht="15.0" customHeight="1">
      <c r="A23" s="16" t="s">
        <v>24</v>
      </c>
      <c r="B23" s="17">
        <v>2.0</v>
      </c>
      <c r="C23" s="18"/>
      <c r="D23" s="19">
        <v>2.0</v>
      </c>
    </row>
    <row r="24" ht="15.0" customHeight="1">
      <c r="A24" s="16" t="s">
        <v>25</v>
      </c>
      <c r="B24" s="17">
        <v>2.0</v>
      </c>
      <c r="C24" s="18"/>
      <c r="D24" s="19">
        <v>2.0</v>
      </c>
    </row>
    <row r="25" ht="18.0" customHeight="1">
      <c r="A25" s="13" t="s">
        <v>26</v>
      </c>
      <c r="B25" s="14">
        <f>SUM(B26:B29)</f>
        <v>10</v>
      </c>
      <c r="C25" s="13"/>
      <c r="D25" s="15">
        <f>SUM(D26:D29)</f>
        <v>10</v>
      </c>
    </row>
    <row r="26" ht="15.0" customHeight="1">
      <c r="A26" s="16" t="s">
        <v>27</v>
      </c>
      <c r="B26" s="17">
        <v>4.0</v>
      </c>
      <c r="C26" s="18"/>
      <c r="D26" s="19">
        <v>4.0</v>
      </c>
    </row>
    <row r="27" ht="15.0" customHeight="1">
      <c r="A27" s="16" t="s">
        <v>28</v>
      </c>
      <c r="B27" s="17">
        <v>2.0</v>
      </c>
      <c r="C27" s="18"/>
      <c r="D27" s="19">
        <v>2.0</v>
      </c>
    </row>
    <row r="28" ht="15.0" customHeight="1">
      <c r="A28" s="16" t="s">
        <v>29</v>
      </c>
      <c r="B28" s="17">
        <v>3.0</v>
      </c>
      <c r="C28" s="18"/>
      <c r="D28" s="19">
        <v>3.0</v>
      </c>
    </row>
    <row r="29" ht="15.0" customHeight="1">
      <c r="A29" s="16" t="s">
        <v>30</v>
      </c>
      <c r="B29" s="17">
        <v>1.0</v>
      </c>
      <c r="C29" s="18"/>
      <c r="D29" s="19">
        <v>1.0</v>
      </c>
    </row>
    <row r="30" ht="18.0" customHeight="1">
      <c r="A30" s="13" t="s">
        <v>31</v>
      </c>
      <c r="B30" s="14">
        <f>SUM(B31:B35)</f>
        <v>5</v>
      </c>
      <c r="C30" s="13"/>
      <c r="D30" s="15">
        <f>SUM(D31:D35)</f>
        <v>5</v>
      </c>
    </row>
    <row r="31" ht="15.0" customHeight="1">
      <c r="A31" s="16" t="s">
        <v>32</v>
      </c>
      <c r="B31" s="17">
        <v>1.0</v>
      </c>
      <c r="C31" s="18"/>
      <c r="D31" s="19">
        <v>1.0</v>
      </c>
    </row>
    <row r="32" ht="15.0" customHeight="1">
      <c r="A32" s="16" t="s">
        <v>33</v>
      </c>
      <c r="B32" s="17">
        <v>1.0</v>
      </c>
      <c r="C32" s="18"/>
      <c r="D32" s="19">
        <v>1.0</v>
      </c>
    </row>
    <row r="33" ht="15.0" customHeight="1">
      <c r="A33" s="16" t="s">
        <v>34</v>
      </c>
      <c r="B33" s="17">
        <v>1.0</v>
      </c>
      <c r="C33" s="18"/>
      <c r="D33" s="19">
        <v>1.0</v>
      </c>
    </row>
    <row r="34" ht="15.0" customHeight="1">
      <c r="A34" s="16" t="s">
        <v>35</v>
      </c>
      <c r="B34" s="17">
        <v>1.0</v>
      </c>
      <c r="C34" s="18"/>
      <c r="D34" s="19">
        <v>1.0</v>
      </c>
    </row>
    <row r="35" ht="15.0" customHeight="1">
      <c r="A35" s="16" t="s">
        <v>36</v>
      </c>
      <c r="B35" s="17">
        <v>1.0</v>
      </c>
      <c r="C35" s="18"/>
      <c r="D35" s="19">
        <v>1.0</v>
      </c>
    </row>
    <row r="36" ht="19.5" customHeight="1">
      <c r="A36" s="10" t="s">
        <v>37</v>
      </c>
      <c r="B36" s="11">
        <f>B37+B43+B55+B61+B67+B72+B78</f>
        <v>55</v>
      </c>
      <c r="C36" s="10"/>
      <c r="D36" s="12">
        <f>D37+D43+D55+D61+D67+D72+D78</f>
        <v>55</v>
      </c>
    </row>
    <row r="37" ht="18.0" customHeight="1">
      <c r="A37" s="13" t="s">
        <v>38</v>
      </c>
      <c r="B37" s="14">
        <f>SUM(B38:B42)</f>
        <v>5</v>
      </c>
      <c r="C37" s="13"/>
      <c r="D37" s="15">
        <f>SUM(D38:D42)</f>
        <v>5</v>
      </c>
    </row>
    <row r="38" ht="15.0" customHeight="1">
      <c r="A38" s="16" t="s">
        <v>39</v>
      </c>
      <c r="B38" s="17">
        <v>1.0</v>
      </c>
      <c r="C38" s="18"/>
      <c r="D38" s="19">
        <v>1.0</v>
      </c>
    </row>
    <row r="39" ht="15.0" customHeight="1">
      <c r="A39" s="16" t="s">
        <v>40</v>
      </c>
      <c r="B39" s="17">
        <v>1.0</v>
      </c>
      <c r="C39" s="18"/>
      <c r="D39" s="19">
        <v>1.0</v>
      </c>
    </row>
    <row r="40" ht="15.0" customHeight="1">
      <c r="A40" s="16" t="s">
        <v>41</v>
      </c>
      <c r="B40" s="17">
        <v>1.0</v>
      </c>
      <c r="C40" s="18"/>
      <c r="D40" s="19">
        <v>1.0</v>
      </c>
    </row>
    <row r="41" ht="15.0" customHeight="1">
      <c r="A41" s="16" t="s">
        <v>42</v>
      </c>
      <c r="B41" s="17">
        <v>1.0</v>
      </c>
      <c r="C41" s="18"/>
      <c r="D41" s="19">
        <v>1.0</v>
      </c>
    </row>
    <row r="42" ht="15.0" customHeight="1">
      <c r="A42" s="16" t="s">
        <v>43</v>
      </c>
      <c r="B42" s="17">
        <v>1.0</v>
      </c>
      <c r="C42" s="18"/>
      <c r="D42" s="19">
        <v>1.0</v>
      </c>
    </row>
    <row r="43" ht="18.0" customHeight="1">
      <c r="A43" s="13" t="s">
        <v>44</v>
      </c>
      <c r="B43" s="14">
        <f>SUM(B44:B54)</f>
        <v>15</v>
      </c>
      <c r="C43" s="13"/>
      <c r="D43" s="15">
        <f>SUM(D44:D54)</f>
        <v>15</v>
      </c>
    </row>
    <row r="44" ht="15.0" customHeight="1">
      <c r="A44" s="16" t="s">
        <v>45</v>
      </c>
      <c r="B44" s="17">
        <v>2.0</v>
      </c>
      <c r="C44" s="18"/>
      <c r="D44" s="19">
        <v>2.0</v>
      </c>
    </row>
    <row r="45" ht="15.0" customHeight="1">
      <c r="A45" s="16" t="s">
        <v>46</v>
      </c>
      <c r="B45" s="17">
        <v>1.0</v>
      </c>
      <c r="C45" s="18"/>
      <c r="D45" s="19">
        <v>1.0</v>
      </c>
    </row>
    <row r="46" ht="15.0" customHeight="1">
      <c r="A46" s="16" t="s">
        <v>47</v>
      </c>
      <c r="B46" s="17">
        <v>1.0</v>
      </c>
      <c r="C46" s="18"/>
      <c r="D46" s="19">
        <v>1.0</v>
      </c>
    </row>
    <row r="47" ht="15.0" customHeight="1">
      <c r="A47" s="16" t="s">
        <v>48</v>
      </c>
      <c r="B47" s="17">
        <v>1.0</v>
      </c>
      <c r="C47" s="18"/>
      <c r="D47" s="19">
        <v>1.0</v>
      </c>
    </row>
    <row r="48" ht="15.0" customHeight="1">
      <c r="A48" s="16" t="s">
        <v>49</v>
      </c>
      <c r="B48" s="17">
        <v>2.0</v>
      </c>
      <c r="C48" s="18"/>
      <c r="D48" s="19">
        <v>2.0</v>
      </c>
    </row>
    <row r="49" ht="15.0" customHeight="1">
      <c r="A49" s="16" t="s">
        <v>50</v>
      </c>
      <c r="B49" s="17">
        <v>2.0</v>
      </c>
      <c r="C49" s="18"/>
      <c r="D49" s="19">
        <v>2.0</v>
      </c>
    </row>
    <row r="50" ht="15.0" customHeight="1">
      <c r="A50" s="16" t="s">
        <v>51</v>
      </c>
      <c r="B50" s="17">
        <v>1.0</v>
      </c>
      <c r="C50" s="18"/>
      <c r="D50" s="19">
        <v>1.0</v>
      </c>
    </row>
    <row r="51" ht="15.0" customHeight="1">
      <c r="A51" s="16" t="s">
        <v>52</v>
      </c>
      <c r="B51" s="17">
        <v>1.0</v>
      </c>
      <c r="C51" s="18"/>
      <c r="D51" s="19">
        <v>1.0</v>
      </c>
    </row>
    <row r="52" ht="15.0" customHeight="1">
      <c r="A52" s="16" t="s">
        <v>53</v>
      </c>
      <c r="B52" s="17">
        <v>2.0</v>
      </c>
      <c r="C52" s="18"/>
      <c r="D52" s="19">
        <v>2.0</v>
      </c>
    </row>
    <row r="53" ht="15.0" customHeight="1">
      <c r="A53" s="16" t="s">
        <v>54</v>
      </c>
      <c r="B53" s="17">
        <v>1.0</v>
      </c>
      <c r="C53" s="18"/>
      <c r="D53" s="19">
        <v>1.0</v>
      </c>
    </row>
    <row r="54" ht="15.0" customHeight="1">
      <c r="A54" s="16" t="s">
        <v>55</v>
      </c>
      <c r="B54" s="17">
        <v>1.0</v>
      </c>
      <c r="C54" s="18"/>
      <c r="D54" s="19">
        <v>1.0</v>
      </c>
    </row>
    <row r="55" ht="18.0" customHeight="1">
      <c r="A55" s="13" t="s">
        <v>56</v>
      </c>
      <c r="B55" s="14">
        <f>SUM(B56:B60)</f>
        <v>8</v>
      </c>
      <c r="C55" s="13"/>
      <c r="D55" s="15">
        <f>SUM(D56:D60)</f>
        <v>8</v>
      </c>
    </row>
    <row r="56" ht="15.0" customHeight="1">
      <c r="A56" s="16" t="s">
        <v>57</v>
      </c>
      <c r="B56" s="17">
        <v>1.0</v>
      </c>
      <c r="C56" s="18"/>
      <c r="D56" s="19">
        <v>1.0</v>
      </c>
    </row>
    <row r="57" ht="15.0" customHeight="1">
      <c r="A57" s="16" t="s">
        <v>58</v>
      </c>
      <c r="B57" s="17">
        <v>2.0</v>
      </c>
      <c r="C57" s="18"/>
      <c r="D57" s="19">
        <v>2.0</v>
      </c>
    </row>
    <row r="58" ht="15.0" customHeight="1">
      <c r="A58" s="16" t="s">
        <v>59</v>
      </c>
      <c r="B58" s="17">
        <v>2.0</v>
      </c>
      <c r="C58" s="18"/>
      <c r="D58" s="19">
        <v>2.0</v>
      </c>
    </row>
    <row r="59" ht="15.0" customHeight="1">
      <c r="A59" s="16" t="s">
        <v>60</v>
      </c>
      <c r="B59" s="17">
        <v>2.0</v>
      </c>
      <c r="C59" s="18"/>
      <c r="D59" s="19">
        <v>2.0</v>
      </c>
    </row>
    <row r="60" ht="15.0" customHeight="1">
      <c r="A60" s="16" t="s">
        <v>61</v>
      </c>
      <c r="B60" s="17">
        <v>1.0</v>
      </c>
      <c r="C60" s="18"/>
      <c r="D60" s="19">
        <v>1.0</v>
      </c>
    </row>
    <row r="61" ht="18.0" customHeight="1">
      <c r="A61" s="13" t="s">
        <v>62</v>
      </c>
      <c r="B61" s="14">
        <f>SUM(B62:B66)</f>
        <v>8</v>
      </c>
      <c r="C61" s="13"/>
      <c r="D61" s="15">
        <f>SUM(D62:D66)</f>
        <v>8</v>
      </c>
    </row>
    <row r="62" ht="15.0" customHeight="1">
      <c r="A62" s="16" t="s">
        <v>63</v>
      </c>
      <c r="B62" s="17">
        <v>2.0</v>
      </c>
      <c r="C62" s="18"/>
      <c r="D62" s="19">
        <v>2.0</v>
      </c>
    </row>
    <row r="63" ht="15.0" customHeight="1">
      <c r="A63" s="16" t="s">
        <v>64</v>
      </c>
      <c r="B63" s="17">
        <v>2.0</v>
      </c>
      <c r="C63" s="18"/>
      <c r="D63" s="19">
        <v>2.0</v>
      </c>
    </row>
    <row r="64" ht="15.0" customHeight="1">
      <c r="A64" s="16" t="s">
        <v>65</v>
      </c>
      <c r="B64" s="17">
        <v>1.0</v>
      </c>
      <c r="C64" s="18"/>
      <c r="D64" s="19">
        <v>1.0</v>
      </c>
    </row>
    <row r="65" ht="15.0" customHeight="1">
      <c r="A65" s="16" t="s">
        <v>66</v>
      </c>
      <c r="B65" s="17">
        <v>2.0</v>
      </c>
      <c r="C65" s="18"/>
      <c r="D65" s="19">
        <v>2.0</v>
      </c>
    </row>
    <row r="66" ht="15.0" customHeight="1">
      <c r="A66" s="16" t="s">
        <v>67</v>
      </c>
      <c r="B66" s="17">
        <v>1.0</v>
      </c>
      <c r="C66" s="18"/>
      <c r="D66" s="19">
        <v>1.0</v>
      </c>
    </row>
    <row r="67" ht="18.0" customHeight="1">
      <c r="A67" s="13" t="s">
        <v>68</v>
      </c>
      <c r="B67" s="14">
        <f>SUM(B68:B71)</f>
        <v>5</v>
      </c>
      <c r="C67" s="13"/>
      <c r="D67" s="15">
        <f>SUM(D68:D71)</f>
        <v>5</v>
      </c>
    </row>
    <row r="68" ht="15.0" customHeight="1">
      <c r="A68" s="16" t="s">
        <v>69</v>
      </c>
      <c r="B68" s="17">
        <v>1.0</v>
      </c>
      <c r="C68" s="18"/>
      <c r="D68" s="19">
        <v>1.0</v>
      </c>
    </row>
    <row r="69" ht="15.0" customHeight="1">
      <c r="A69" s="16" t="s">
        <v>70</v>
      </c>
      <c r="B69" s="17">
        <v>2.0</v>
      </c>
      <c r="C69" s="18"/>
      <c r="D69" s="19">
        <v>2.0</v>
      </c>
    </row>
    <row r="70" ht="15.0" customHeight="1">
      <c r="A70" s="16" t="s">
        <v>71</v>
      </c>
      <c r="B70" s="17">
        <v>1.0</v>
      </c>
      <c r="C70" s="18"/>
      <c r="D70" s="19">
        <v>1.0</v>
      </c>
    </row>
    <row r="71" ht="15.0" customHeight="1">
      <c r="A71" s="16" t="s">
        <v>72</v>
      </c>
      <c r="B71" s="17">
        <v>1.0</v>
      </c>
      <c r="C71" s="18"/>
      <c r="D71" s="19">
        <v>1.0</v>
      </c>
    </row>
    <row r="72" ht="18.0" customHeight="1">
      <c r="A72" s="13" t="s">
        <v>73</v>
      </c>
      <c r="B72" s="14">
        <f>SUM(B73:B77)</f>
        <v>8</v>
      </c>
      <c r="C72" s="13"/>
      <c r="D72" s="15">
        <f>SUM(D73:D77)</f>
        <v>8</v>
      </c>
    </row>
    <row r="73" ht="15.0" customHeight="1">
      <c r="A73" s="16" t="s">
        <v>74</v>
      </c>
      <c r="B73" s="17">
        <v>2.0</v>
      </c>
      <c r="C73" s="18"/>
      <c r="D73" s="19">
        <v>2.0</v>
      </c>
    </row>
    <row r="74" ht="15.0" customHeight="1">
      <c r="A74" s="16" t="s">
        <v>75</v>
      </c>
      <c r="B74" s="17">
        <v>2.0</v>
      </c>
      <c r="C74" s="18"/>
      <c r="D74" s="19">
        <v>2.0</v>
      </c>
    </row>
    <row r="75" ht="15.0" customHeight="1">
      <c r="A75" s="16" t="s">
        <v>76</v>
      </c>
      <c r="B75" s="17">
        <v>1.0</v>
      </c>
      <c r="C75" s="18"/>
      <c r="D75" s="19">
        <v>1.0</v>
      </c>
    </row>
    <row r="76" ht="15.0" customHeight="1">
      <c r="A76" s="16" t="s">
        <v>77</v>
      </c>
      <c r="B76" s="17">
        <v>2.0</v>
      </c>
      <c r="C76" s="18"/>
      <c r="D76" s="19">
        <v>2.0</v>
      </c>
    </row>
    <row r="77" ht="15.0" customHeight="1">
      <c r="A77" s="16" t="s">
        <v>78</v>
      </c>
      <c r="B77" s="17">
        <v>1.0</v>
      </c>
      <c r="C77" s="18"/>
      <c r="D77" s="19">
        <v>1.0</v>
      </c>
    </row>
    <row r="78" ht="18.0" customHeight="1">
      <c r="A78" s="13" t="s">
        <v>79</v>
      </c>
      <c r="B78" s="14">
        <f>SUM(B79:B82)</f>
        <v>6</v>
      </c>
      <c r="C78" s="13"/>
      <c r="D78" s="15">
        <f>SUM(D79:D82)</f>
        <v>6</v>
      </c>
    </row>
    <row r="79" ht="15.0" customHeight="1">
      <c r="A79" s="16" t="s">
        <v>80</v>
      </c>
      <c r="B79" s="17">
        <v>2.0</v>
      </c>
      <c r="C79" s="18"/>
      <c r="D79" s="19">
        <v>2.0</v>
      </c>
    </row>
    <row r="80" ht="15.0" customHeight="1">
      <c r="A80" s="16" t="s">
        <v>81</v>
      </c>
      <c r="B80" s="17">
        <v>1.0</v>
      </c>
      <c r="C80" s="18"/>
      <c r="D80" s="19">
        <v>1.0</v>
      </c>
    </row>
    <row r="81" ht="15.0" customHeight="1">
      <c r="A81" s="16" t="s">
        <v>82</v>
      </c>
      <c r="B81" s="17">
        <v>2.0</v>
      </c>
      <c r="C81" s="18"/>
      <c r="D81" s="19">
        <v>2.0</v>
      </c>
    </row>
    <row r="82" ht="15.0" customHeight="1">
      <c r="A82" s="16" t="s">
        <v>83</v>
      </c>
      <c r="B82" s="17">
        <v>1.0</v>
      </c>
      <c r="C82" s="18"/>
      <c r="D82" s="19">
        <v>1.0</v>
      </c>
    </row>
    <row r="83" ht="19.5" customHeight="1">
      <c r="A83" s="10" t="s">
        <v>84</v>
      </c>
      <c r="B83" s="11">
        <f>B84+B87</f>
        <v>20</v>
      </c>
      <c r="C83" s="10"/>
      <c r="D83" s="12">
        <f>D84+D87</f>
        <v>20</v>
      </c>
    </row>
    <row r="84" ht="18.0" customHeight="1">
      <c r="A84" s="13" t="s">
        <v>85</v>
      </c>
      <c r="B84" s="14">
        <f>SUM(B85:B86)</f>
        <v>5</v>
      </c>
      <c r="C84" s="13"/>
      <c r="D84" s="15">
        <f>SUM(D85:D86)</f>
        <v>5</v>
      </c>
    </row>
    <row r="85" ht="15.0" customHeight="1">
      <c r="A85" s="16" t="s">
        <v>86</v>
      </c>
      <c r="B85" s="17">
        <v>2.5</v>
      </c>
      <c r="C85" s="18"/>
      <c r="D85" s="19">
        <v>2.5</v>
      </c>
    </row>
    <row r="86" ht="15.0" customHeight="1">
      <c r="A86" s="16" t="s">
        <v>87</v>
      </c>
      <c r="B86" s="17">
        <v>2.5</v>
      </c>
      <c r="C86" s="18"/>
      <c r="D86" s="19">
        <v>2.5</v>
      </c>
    </row>
    <row r="87" ht="18.0" customHeight="1">
      <c r="A87" s="13" t="s">
        <v>88</v>
      </c>
      <c r="B87" s="14">
        <f>SUM(B88:B90)</f>
        <v>15</v>
      </c>
      <c r="C87" s="13"/>
      <c r="D87" s="15">
        <f>SUM(D88:D90)</f>
        <v>15</v>
      </c>
    </row>
    <row r="88" ht="15.0" customHeight="1">
      <c r="A88" s="16" t="s">
        <v>89</v>
      </c>
      <c r="B88" s="17">
        <v>5.0</v>
      </c>
      <c r="C88" s="18"/>
      <c r="D88" s="19">
        <v>5.0</v>
      </c>
    </row>
    <row r="89" ht="15.0" customHeight="1">
      <c r="A89" s="16" t="s">
        <v>90</v>
      </c>
      <c r="B89" s="17">
        <v>5.0</v>
      </c>
      <c r="C89" s="18"/>
      <c r="D89" s="19">
        <v>5.0</v>
      </c>
    </row>
    <row r="90" ht="15.0" customHeight="1">
      <c r="A90" s="16" t="s">
        <v>91</v>
      </c>
      <c r="B90" s="17">
        <v>5.0</v>
      </c>
      <c r="C90" s="18"/>
      <c r="D90" s="19">
        <v>5.0</v>
      </c>
    </row>
    <row r="91" ht="19.5" customHeight="1">
      <c r="A91" s="21" t="s">
        <v>92</v>
      </c>
      <c r="B91" s="22">
        <f>B19+B36+B83</f>
        <v>100</v>
      </c>
      <c r="C91" s="23"/>
      <c r="D91" s="24">
        <f>D19+D36+D83</f>
        <v>100</v>
      </c>
    </row>
    <row r="92" ht="15.75" customHeight="1">
      <c r="A92" s="2"/>
      <c r="B92" s="2"/>
      <c r="C92" s="2"/>
      <c r="D92" s="2"/>
    </row>
    <row r="93" ht="15.75" customHeight="1">
      <c r="A93" s="1" t="s">
        <v>93</v>
      </c>
      <c r="B93" s="2"/>
      <c r="C93" s="2"/>
      <c r="D93" s="2"/>
    </row>
    <row r="94" ht="15.75" customHeight="1">
      <c r="A94" s="9" t="s">
        <v>94</v>
      </c>
      <c r="B94" s="9" t="s">
        <v>95</v>
      </c>
      <c r="C94" s="9" t="s">
        <v>18</v>
      </c>
      <c r="D94" s="9"/>
    </row>
    <row r="95" ht="15.75" customHeight="1">
      <c r="A95" s="16" t="s">
        <v>96</v>
      </c>
      <c r="B95" s="25" t="s">
        <v>97</v>
      </c>
      <c r="C95" s="26"/>
      <c r="D95" s="27"/>
    </row>
    <row r="96" ht="15.75" customHeight="1">
      <c r="A96" s="16" t="s">
        <v>98</v>
      </c>
      <c r="B96" s="25" t="s">
        <v>97</v>
      </c>
      <c r="C96" s="26"/>
      <c r="D96" s="27"/>
    </row>
    <row r="97" ht="15.75" customHeight="1">
      <c r="A97" s="16" t="s">
        <v>99</v>
      </c>
      <c r="B97" s="25" t="s">
        <v>97</v>
      </c>
      <c r="C97" s="26"/>
      <c r="D97" s="27"/>
    </row>
    <row r="98" ht="15.75" customHeight="1">
      <c r="A98" s="16" t="s">
        <v>100</v>
      </c>
      <c r="B98" s="25" t="s">
        <v>97</v>
      </c>
      <c r="C98" s="26"/>
      <c r="D98" s="27"/>
    </row>
    <row r="99" ht="15.75" customHeight="1">
      <c r="A99" s="16" t="s">
        <v>101</v>
      </c>
      <c r="B99" s="25" t="s">
        <v>97</v>
      </c>
      <c r="C99" s="26"/>
      <c r="D99" s="27"/>
    </row>
    <row r="100" ht="15.75" customHeight="1">
      <c r="A100" s="16" t="s">
        <v>102</v>
      </c>
      <c r="B100" s="25" t="s">
        <v>97</v>
      </c>
      <c r="C100" s="26"/>
      <c r="D100" s="27"/>
    </row>
    <row r="101" ht="15.75" customHeight="1">
      <c r="A101" s="2"/>
      <c r="B101" s="2"/>
      <c r="C101" s="2"/>
      <c r="D101" s="2"/>
    </row>
    <row r="102" ht="15.75" customHeight="1">
      <c r="A102" s="1" t="s">
        <v>103</v>
      </c>
      <c r="B102" s="2"/>
      <c r="C102" s="2"/>
      <c r="D102" s="2"/>
    </row>
    <row r="103" ht="15.75" customHeight="1">
      <c r="A103" s="9" t="s">
        <v>104</v>
      </c>
      <c r="B103" s="9" t="s">
        <v>105</v>
      </c>
      <c r="C103" s="9" t="s">
        <v>106</v>
      </c>
      <c r="D103" s="9" t="s">
        <v>107</v>
      </c>
    </row>
    <row r="104" ht="15.75" customHeight="1">
      <c r="A104" s="16" t="s">
        <v>108</v>
      </c>
      <c r="B104" s="28">
        <v>-0.3</v>
      </c>
      <c r="C104" s="25" t="s">
        <v>109</v>
      </c>
      <c r="D104" s="29">
        <f t="shared" ref="D104:D118" si="1">IF(C104="Sí",$D$91*B104,0)</f>
        <v>0</v>
      </c>
    </row>
    <row r="105" ht="15.75" customHeight="1">
      <c r="A105" s="16" t="s">
        <v>110</v>
      </c>
      <c r="B105" s="28">
        <v>-0.2</v>
      </c>
      <c r="C105" s="25" t="s">
        <v>109</v>
      </c>
      <c r="D105" s="29">
        <f t="shared" si="1"/>
        <v>0</v>
      </c>
    </row>
    <row r="106" ht="15.75" customHeight="1">
      <c r="A106" s="16" t="s">
        <v>111</v>
      </c>
      <c r="B106" s="28">
        <v>-1.0</v>
      </c>
      <c r="C106" s="25" t="s">
        <v>109</v>
      </c>
      <c r="D106" s="29">
        <f t="shared" si="1"/>
        <v>0</v>
      </c>
    </row>
    <row r="107" ht="15.75" customHeight="1">
      <c r="A107" s="16" t="s">
        <v>112</v>
      </c>
      <c r="B107" s="28">
        <v>-1.0</v>
      </c>
      <c r="C107" s="25" t="s">
        <v>109</v>
      </c>
      <c r="D107" s="29">
        <f t="shared" si="1"/>
        <v>0</v>
      </c>
    </row>
    <row r="108" ht="15.75" customHeight="1">
      <c r="A108" s="16" t="s">
        <v>113</v>
      </c>
      <c r="B108" s="28">
        <v>-0.75</v>
      </c>
      <c r="C108" s="25" t="s">
        <v>109</v>
      </c>
      <c r="D108" s="29">
        <f t="shared" si="1"/>
        <v>0</v>
      </c>
    </row>
    <row r="109" ht="15.75" customHeight="1">
      <c r="A109" s="16" t="s">
        <v>114</v>
      </c>
      <c r="B109" s="28">
        <v>-0.75</v>
      </c>
      <c r="C109" s="25" t="s">
        <v>109</v>
      </c>
      <c r="D109" s="29">
        <f t="shared" si="1"/>
        <v>0</v>
      </c>
    </row>
    <row r="110" ht="15.75" customHeight="1">
      <c r="A110" s="16" t="s">
        <v>115</v>
      </c>
      <c r="B110" s="28">
        <v>-0.9</v>
      </c>
      <c r="C110" s="25" t="s">
        <v>109</v>
      </c>
      <c r="D110" s="29">
        <f t="shared" si="1"/>
        <v>0</v>
      </c>
    </row>
    <row r="111" ht="15.75" customHeight="1">
      <c r="A111" s="16" t="s">
        <v>116</v>
      </c>
      <c r="B111" s="28">
        <v>-0.5</v>
      </c>
      <c r="C111" s="25" t="s">
        <v>109</v>
      </c>
      <c r="D111" s="29">
        <f t="shared" si="1"/>
        <v>0</v>
      </c>
    </row>
    <row r="112" ht="15.75" customHeight="1">
      <c r="A112" s="16" t="s">
        <v>117</v>
      </c>
      <c r="B112" s="28">
        <v>-0.5</v>
      </c>
      <c r="C112" s="25" t="s">
        <v>109</v>
      </c>
      <c r="D112" s="29">
        <f t="shared" si="1"/>
        <v>0</v>
      </c>
    </row>
    <row r="113" ht="15.75" customHeight="1">
      <c r="A113" s="16" t="s">
        <v>118</v>
      </c>
      <c r="B113" s="28">
        <v>-1.0</v>
      </c>
      <c r="C113" s="25" t="s">
        <v>109</v>
      </c>
      <c r="D113" s="29">
        <f t="shared" si="1"/>
        <v>0</v>
      </c>
    </row>
    <row r="114" ht="15.75" customHeight="1">
      <c r="A114" s="16" t="s">
        <v>119</v>
      </c>
      <c r="B114" s="28">
        <v>-0.25</v>
      </c>
      <c r="C114" s="25" t="s">
        <v>109</v>
      </c>
      <c r="D114" s="29">
        <f t="shared" si="1"/>
        <v>0</v>
      </c>
    </row>
    <row r="115" ht="15.75" customHeight="1">
      <c r="A115" s="16" t="s">
        <v>120</v>
      </c>
      <c r="B115" s="28">
        <v>-1.0</v>
      </c>
      <c r="C115" s="25" t="s">
        <v>109</v>
      </c>
      <c r="D115" s="29">
        <f t="shared" si="1"/>
        <v>0</v>
      </c>
    </row>
    <row r="116" ht="15.75" customHeight="1">
      <c r="A116" s="16" t="s">
        <v>121</v>
      </c>
      <c r="B116" s="28">
        <v>-1.0</v>
      </c>
      <c r="C116" s="25" t="s">
        <v>109</v>
      </c>
      <c r="D116" s="29">
        <f t="shared" si="1"/>
        <v>0</v>
      </c>
    </row>
    <row r="117" ht="15.75" customHeight="1">
      <c r="A117" s="16" t="s">
        <v>122</v>
      </c>
      <c r="B117" s="28">
        <v>-0.5</v>
      </c>
      <c r="C117" s="25" t="s">
        <v>109</v>
      </c>
      <c r="D117" s="29">
        <f t="shared" si="1"/>
        <v>0</v>
      </c>
    </row>
    <row r="118" ht="15.75" customHeight="1">
      <c r="A118" s="16" t="s">
        <v>123</v>
      </c>
      <c r="B118" s="28">
        <v>-1.0</v>
      </c>
      <c r="C118" s="25" t="s">
        <v>109</v>
      </c>
      <c r="D118" s="29">
        <f t="shared" si="1"/>
        <v>0</v>
      </c>
    </row>
    <row r="119" ht="15.75" customHeight="1">
      <c r="A119" s="21" t="s">
        <v>124</v>
      </c>
      <c r="B119" s="23"/>
      <c r="C119" s="23"/>
      <c r="D119" s="24">
        <f>SUM(D104:D118)</f>
        <v>0</v>
      </c>
    </row>
    <row r="120" ht="15.75" customHeight="1">
      <c r="A120" s="2"/>
      <c r="B120" s="2"/>
      <c r="C120" s="2"/>
      <c r="D120" s="2"/>
    </row>
    <row r="121" ht="21.75" customHeight="1">
      <c r="A121" s="31" t="s">
        <v>125</v>
      </c>
      <c r="B121" s="32"/>
      <c r="C121" s="32"/>
      <c r="D121" s="33">
        <f>MAX(0,ROUND($D$91+$D$119,2))</f>
        <v>100</v>
      </c>
    </row>
    <row r="122" ht="15.75" customHeight="1">
      <c r="A122" s="2"/>
      <c r="B122" s="2"/>
      <c r="C122" s="2"/>
      <c r="D122" s="2"/>
    </row>
    <row r="123" ht="15.75" customHeight="1">
      <c r="A123" s="4" t="s">
        <v>126</v>
      </c>
      <c r="B123" s="2"/>
      <c r="C123" s="2"/>
      <c r="D123" s="2"/>
    </row>
    <row r="124" ht="18.0" customHeight="1">
      <c r="A124" s="34"/>
      <c r="B124" s="35"/>
      <c r="C124" s="35"/>
      <c r="D124" s="36"/>
    </row>
    <row r="125" ht="18.0" customHeight="1">
      <c r="A125" s="34"/>
      <c r="B125" s="35"/>
      <c r="C125" s="35"/>
      <c r="D125" s="36"/>
    </row>
    <row r="126" ht="18.0" customHeight="1">
      <c r="A126" s="34"/>
      <c r="B126" s="35"/>
      <c r="C126" s="35"/>
      <c r="D126" s="36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37" t="s">
        <v>127</v>
      </c>
      <c r="B129" s="2"/>
      <c r="C129" s="37" t="s">
        <v>127</v>
      </c>
      <c r="D129" s="2"/>
    </row>
    <row r="130" ht="15.75" customHeight="1">
      <c r="A130" s="37" t="s">
        <v>128</v>
      </c>
      <c r="B130" s="2"/>
      <c r="C130" s="37" t="s">
        <v>129</v>
      </c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mergeCells count="6">
    <mergeCell ref="A14:D14"/>
    <mergeCell ref="A15:D15"/>
    <mergeCell ref="A16:D16"/>
    <mergeCell ref="A124:D124"/>
    <mergeCell ref="A125:D125"/>
    <mergeCell ref="A126:D126"/>
  </mergeCells>
  <conditionalFormatting sqref="D19:D90">
    <cfRule type="cellIs" dxfId="0" priority="1" operator="greaterThan">
      <formula>B19</formula>
    </cfRule>
  </conditionalFormatting>
  <dataValidations>
    <dataValidation type="list" allowBlank="1" sqref="B95:B100 C104:C118">
      <formula1>"Sí,No"</formula1>
    </dataValidation>
  </dataValidations>
  <printOptions horizontalCentered="1"/>
  <pageMargins bottom="1.0" footer="0.0" header="0.0" left="0.75" right="0.75" top="1.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8.0" topLeftCell="A19" activePane="bottomLeft" state="frozen"/>
      <selection activeCell="B20" sqref="B20" pane="bottomLeft"/>
    </sheetView>
  </sheetViews>
  <sheetFormatPr customHeight="1" defaultColWidth="14.43" defaultRowHeight="15.0"/>
  <cols>
    <col customWidth="1" min="1" max="1" width="78.0"/>
    <col customWidth="1" min="2" max="2" width="11.0"/>
    <col customWidth="1" min="3" max="3" width="34.0"/>
    <col customWidth="1" min="4" max="4" width="11.0"/>
    <col customWidth="1" min="5" max="26" width="8.71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3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2"/>
      <c r="B7" s="2"/>
      <c r="C7" s="2"/>
      <c r="D7" s="2"/>
    </row>
    <row r="8">
      <c r="A8" s="3" t="s">
        <v>6</v>
      </c>
      <c r="B8" s="2"/>
      <c r="C8" s="2"/>
      <c r="D8" s="2"/>
    </row>
    <row r="9">
      <c r="A9" s="2"/>
      <c r="B9" s="2"/>
      <c r="C9" s="2"/>
      <c r="D9" s="2"/>
    </row>
    <row r="10">
      <c r="A10" s="4" t="s">
        <v>7</v>
      </c>
      <c r="B10" s="5"/>
      <c r="C10" s="2"/>
      <c r="D10" s="2"/>
    </row>
    <row r="11">
      <c r="A11" s="4" t="s">
        <v>8</v>
      </c>
      <c r="B11" s="6" t="s">
        <v>135</v>
      </c>
      <c r="C11" s="2"/>
      <c r="D11" s="2"/>
    </row>
    <row r="12">
      <c r="A12" s="4" t="s">
        <v>10</v>
      </c>
      <c r="B12" s="6">
        <v>2.02405048E8</v>
      </c>
      <c r="C12" s="2"/>
      <c r="D12" s="2"/>
    </row>
    <row r="13">
      <c r="A13" s="2"/>
      <c r="B13" s="2"/>
      <c r="C13" s="2"/>
      <c r="D13" s="2"/>
    </row>
    <row r="14" ht="25.5" customHeight="1">
      <c r="A14" s="8" t="s">
        <v>12</v>
      </c>
    </row>
    <row r="15" ht="25.5" customHeight="1">
      <c r="A15" s="8" t="s">
        <v>14</v>
      </c>
    </row>
    <row r="16" ht="25.5" customHeight="1">
      <c r="A16" s="8" t="s">
        <v>15</v>
      </c>
    </row>
    <row r="17">
      <c r="A17" s="2"/>
      <c r="B17" s="2"/>
      <c r="C17" s="2"/>
      <c r="D17" s="2"/>
    </row>
    <row r="18" ht="19.5" customHeight="1">
      <c r="A18" s="9" t="s">
        <v>16</v>
      </c>
      <c r="B18" s="9" t="s">
        <v>17</v>
      </c>
      <c r="C18" s="9" t="s">
        <v>18</v>
      </c>
      <c r="D18" s="9" t="s">
        <v>19</v>
      </c>
    </row>
    <row r="19" ht="19.5" customHeight="1">
      <c r="A19" s="10" t="s">
        <v>20</v>
      </c>
      <c r="B19" s="11">
        <f>B20+B25+B30</f>
        <v>25</v>
      </c>
      <c r="C19" s="10"/>
      <c r="D19" s="12">
        <f>D20+D25+D30</f>
        <v>25</v>
      </c>
    </row>
    <row r="20" ht="18.0" customHeight="1">
      <c r="A20" s="13" t="s">
        <v>21</v>
      </c>
      <c r="B20" s="14">
        <f>SUM(B21:B24)</f>
        <v>10</v>
      </c>
      <c r="C20" s="13"/>
      <c r="D20" s="15">
        <f>SUM(D21:D24)</f>
        <v>10</v>
      </c>
    </row>
    <row r="21" ht="15.0" customHeight="1">
      <c r="A21" s="16" t="s">
        <v>22</v>
      </c>
      <c r="B21" s="17">
        <v>3.0</v>
      </c>
      <c r="C21" s="18"/>
      <c r="D21" s="19">
        <v>3.0</v>
      </c>
    </row>
    <row r="22" ht="15.0" customHeight="1">
      <c r="A22" s="16" t="s">
        <v>23</v>
      </c>
      <c r="B22" s="17">
        <v>3.0</v>
      </c>
      <c r="C22" s="18"/>
      <c r="D22" s="19">
        <v>3.0</v>
      </c>
    </row>
    <row r="23" ht="15.0" customHeight="1">
      <c r="A23" s="16" t="s">
        <v>24</v>
      </c>
      <c r="B23" s="17">
        <v>2.0</v>
      </c>
      <c r="C23" s="18"/>
      <c r="D23" s="19">
        <v>2.0</v>
      </c>
    </row>
    <row r="24" ht="15.0" customHeight="1">
      <c r="A24" s="16" t="s">
        <v>25</v>
      </c>
      <c r="B24" s="17">
        <v>2.0</v>
      </c>
      <c r="C24" s="18"/>
      <c r="D24" s="19">
        <v>2.0</v>
      </c>
    </row>
    <row r="25" ht="18.0" customHeight="1">
      <c r="A25" s="13" t="s">
        <v>26</v>
      </c>
      <c r="B25" s="14">
        <f>SUM(B26:B29)</f>
        <v>10</v>
      </c>
      <c r="C25" s="13"/>
      <c r="D25" s="15">
        <f>SUM(D26:D29)</f>
        <v>10</v>
      </c>
    </row>
    <row r="26" ht="15.0" customHeight="1">
      <c r="A26" s="16" t="s">
        <v>27</v>
      </c>
      <c r="B26" s="17">
        <v>4.0</v>
      </c>
      <c r="C26" s="18"/>
      <c r="D26" s="19">
        <v>4.0</v>
      </c>
    </row>
    <row r="27" ht="15.0" customHeight="1">
      <c r="A27" s="16" t="s">
        <v>28</v>
      </c>
      <c r="B27" s="17">
        <v>2.0</v>
      </c>
      <c r="C27" s="18"/>
      <c r="D27" s="19">
        <v>2.0</v>
      </c>
    </row>
    <row r="28" ht="15.0" customHeight="1">
      <c r="A28" s="16" t="s">
        <v>29</v>
      </c>
      <c r="B28" s="17">
        <v>3.0</v>
      </c>
      <c r="C28" s="18"/>
      <c r="D28" s="19">
        <v>3.0</v>
      </c>
    </row>
    <row r="29" ht="15.0" customHeight="1">
      <c r="A29" s="16" t="s">
        <v>30</v>
      </c>
      <c r="B29" s="17">
        <v>1.0</v>
      </c>
      <c r="C29" s="18"/>
      <c r="D29" s="19">
        <v>1.0</v>
      </c>
    </row>
    <row r="30" ht="18.0" customHeight="1">
      <c r="A30" s="13" t="s">
        <v>31</v>
      </c>
      <c r="B30" s="14">
        <f>SUM(B31:B35)</f>
        <v>5</v>
      </c>
      <c r="C30" s="13"/>
      <c r="D30" s="15">
        <f>SUM(D31:D35)</f>
        <v>5</v>
      </c>
    </row>
    <row r="31" ht="15.0" customHeight="1">
      <c r="A31" s="16" t="s">
        <v>32</v>
      </c>
      <c r="B31" s="17">
        <v>1.0</v>
      </c>
      <c r="C31" s="18"/>
      <c r="D31" s="19">
        <v>1.0</v>
      </c>
    </row>
    <row r="32" ht="15.0" customHeight="1">
      <c r="A32" s="16" t="s">
        <v>33</v>
      </c>
      <c r="B32" s="17">
        <v>1.0</v>
      </c>
      <c r="C32" s="18"/>
      <c r="D32" s="19">
        <v>1.0</v>
      </c>
    </row>
    <row r="33" ht="15.0" customHeight="1">
      <c r="A33" s="16" t="s">
        <v>34</v>
      </c>
      <c r="B33" s="17">
        <v>1.0</v>
      </c>
      <c r="C33" s="18"/>
      <c r="D33" s="19">
        <v>1.0</v>
      </c>
    </row>
    <row r="34" ht="15.0" customHeight="1">
      <c r="A34" s="16" t="s">
        <v>35</v>
      </c>
      <c r="B34" s="17">
        <v>1.0</v>
      </c>
      <c r="C34" s="18"/>
      <c r="D34" s="19">
        <v>1.0</v>
      </c>
    </row>
    <row r="35" ht="15.0" customHeight="1">
      <c r="A35" s="16" t="s">
        <v>36</v>
      </c>
      <c r="B35" s="17">
        <v>1.0</v>
      </c>
      <c r="C35" s="18"/>
      <c r="D35" s="19">
        <v>1.0</v>
      </c>
    </row>
    <row r="36" ht="19.5" customHeight="1">
      <c r="A36" s="10" t="s">
        <v>37</v>
      </c>
      <c r="B36" s="11">
        <f>B37+B43+B55+B61+B67+B72+B78</f>
        <v>55</v>
      </c>
      <c r="C36" s="10"/>
      <c r="D36" s="12">
        <f>D37+D43+D55+D61+D67+D72+D78</f>
        <v>55</v>
      </c>
    </row>
    <row r="37" ht="18.0" customHeight="1">
      <c r="A37" s="13" t="s">
        <v>38</v>
      </c>
      <c r="B37" s="14">
        <f>SUM(B38:B42)</f>
        <v>5</v>
      </c>
      <c r="C37" s="13"/>
      <c r="D37" s="15">
        <f>SUM(D38:D42)</f>
        <v>5</v>
      </c>
    </row>
    <row r="38" ht="15.0" customHeight="1">
      <c r="A38" s="16" t="s">
        <v>39</v>
      </c>
      <c r="B38" s="17">
        <v>1.0</v>
      </c>
      <c r="C38" s="18"/>
      <c r="D38" s="19">
        <v>1.0</v>
      </c>
    </row>
    <row r="39" ht="15.0" customHeight="1">
      <c r="A39" s="16" t="s">
        <v>40</v>
      </c>
      <c r="B39" s="17">
        <v>1.0</v>
      </c>
      <c r="C39" s="18"/>
      <c r="D39" s="19">
        <v>1.0</v>
      </c>
    </row>
    <row r="40" ht="15.0" customHeight="1">
      <c r="A40" s="16" t="s">
        <v>41</v>
      </c>
      <c r="B40" s="17">
        <v>1.0</v>
      </c>
      <c r="C40" s="18"/>
      <c r="D40" s="19">
        <v>1.0</v>
      </c>
    </row>
    <row r="41" ht="15.0" customHeight="1">
      <c r="A41" s="16" t="s">
        <v>42</v>
      </c>
      <c r="B41" s="17">
        <v>1.0</v>
      </c>
      <c r="C41" s="18"/>
      <c r="D41" s="19">
        <v>1.0</v>
      </c>
    </row>
    <row r="42" ht="15.0" customHeight="1">
      <c r="A42" s="16" t="s">
        <v>43</v>
      </c>
      <c r="B42" s="17">
        <v>1.0</v>
      </c>
      <c r="C42" s="18"/>
      <c r="D42" s="19">
        <v>1.0</v>
      </c>
    </row>
    <row r="43" ht="18.0" customHeight="1">
      <c r="A43" s="13" t="s">
        <v>44</v>
      </c>
      <c r="B43" s="14">
        <f>SUM(B44:B54)</f>
        <v>15</v>
      </c>
      <c r="C43" s="13"/>
      <c r="D43" s="15">
        <f>SUM(D44:D54)</f>
        <v>15</v>
      </c>
    </row>
    <row r="44" ht="15.0" customHeight="1">
      <c r="A44" s="16" t="s">
        <v>45</v>
      </c>
      <c r="B44" s="17">
        <v>2.0</v>
      </c>
      <c r="C44" s="18"/>
      <c r="D44" s="19">
        <v>2.0</v>
      </c>
    </row>
    <row r="45" ht="15.0" customHeight="1">
      <c r="A45" s="16" t="s">
        <v>46</v>
      </c>
      <c r="B45" s="17">
        <v>1.0</v>
      </c>
      <c r="C45" s="18"/>
      <c r="D45" s="19">
        <v>1.0</v>
      </c>
    </row>
    <row r="46" ht="15.0" customHeight="1">
      <c r="A46" s="16" t="s">
        <v>47</v>
      </c>
      <c r="B46" s="17">
        <v>1.0</v>
      </c>
      <c r="C46" s="18"/>
      <c r="D46" s="19">
        <v>1.0</v>
      </c>
    </row>
    <row r="47" ht="15.0" customHeight="1">
      <c r="A47" s="16" t="s">
        <v>48</v>
      </c>
      <c r="B47" s="17">
        <v>1.0</v>
      </c>
      <c r="C47" s="18"/>
      <c r="D47" s="19">
        <v>1.0</v>
      </c>
    </row>
    <row r="48" ht="15.0" customHeight="1">
      <c r="A48" s="16" t="s">
        <v>49</v>
      </c>
      <c r="B48" s="17">
        <v>2.0</v>
      </c>
      <c r="C48" s="18"/>
      <c r="D48" s="19">
        <v>2.0</v>
      </c>
    </row>
    <row r="49" ht="15.0" customHeight="1">
      <c r="A49" s="16" t="s">
        <v>50</v>
      </c>
      <c r="B49" s="17">
        <v>2.0</v>
      </c>
      <c r="C49" s="18"/>
      <c r="D49" s="19">
        <v>2.0</v>
      </c>
    </row>
    <row r="50" ht="15.0" customHeight="1">
      <c r="A50" s="16" t="s">
        <v>51</v>
      </c>
      <c r="B50" s="17">
        <v>1.0</v>
      </c>
      <c r="C50" s="18"/>
      <c r="D50" s="19">
        <v>1.0</v>
      </c>
    </row>
    <row r="51" ht="15.0" customHeight="1">
      <c r="A51" s="16" t="s">
        <v>52</v>
      </c>
      <c r="B51" s="17">
        <v>1.0</v>
      </c>
      <c r="C51" s="18"/>
      <c r="D51" s="19">
        <v>1.0</v>
      </c>
    </row>
    <row r="52" ht="15.0" customHeight="1">
      <c r="A52" s="16" t="s">
        <v>53</v>
      </c>
      <c r="B52" s="17">
        <v>2.0</v>
      </c>
      <c r="C52" s="18"/>
      <c r="D52" s="19">
        <v>2.0</v>
      </c>
    </row>
    <row r="53" ht="15.0" customHeight="1">
      <c r="A53" s="16" t="s">
        <v>54</v>
      </c>
      <c r="B53" s="17">
        <v>1.0</v>
      </c>
      <c r="C53" s="18"/>
      <c r="D53" s="19">
        <v>1.0</v>
      </c>
    </row>
    <row r="54" ht="15.0" customHeight="1">
      <c r="A54" s="16" t="s">
        <v>55</v>
      </c>
      <c r="B54" s="17">
        <v>1.0</v>
      </c>
      <c r="C54" s="18"/>
      <c r="D54" s="19">
        <v>1.0</v>
      </c>
    </row>
    <row r="55" ht="18.0" customHeight="1">
      <c r="A55" s="13" t="s">
        <v>56</v>
      </c>
      <c r="B55" s="14">
        <f>SUM(B56:B60)</f>
        <v>8</v>
      </c>
      <c r="C55" s="13"/>
      <c r="D55" s="15">
        <f>SUM(D56:D60)</f>
        <v>8</v>
      </c>
    </row>
    <row r="56" ht="15.0" customHeight="1">
      <c r="A56" s="16" t="s">
        <v>57</v>
      </c>
      <c r="B56" s="17">
        <v>1.0</v>
      </c>
      <c r="C56" s="18"/>
      <c r="D56" s="19">
        <v>1.0</v>
      </c>
    </row>
    <row r="57" ht="15.0" customHeight="1">
      <c r="A57" s="16" t="s">
        <v>58</v>
      </c>
      <c r="B57" s="17">
        <v>2.0</v>
      </c>
      <c r="C57" s="18"/>
      <c r="D57" s="19">
        <v>2.0</v>
      </c>
    </row>
    <row r="58" ht="15.0" customHeight="1">
      <c r="A58" s="16" t="s">
        <v>59</v>
      </c>
      <c r="B58" s="17">
        <v>2.0</v>
      </c>
      <c r="C58" s="18"/>
      <c r="D58" s="19">
        <v>2.0</v>
      </c>
    </row>
    <row r="59" ht="15.0" customHeight="1">
      <c r="A59" s="16" t="s">
        <v>60</v>
      </c>
      <c r="B59" s="17">
        <v>2.0</v>
      </c>
      <c r="C59" s="18"/>
      <c r="D59" s="19">
        <v>2.0</v>
      </c>
    </row>
    <row r="60" ht="15.0" customHeight="1">
      <c r="A60" s="16" t="s">
        <v>61</v>
      </c>
      <c r="B60" s="17">
        <v>1.0</v>
      </c>
      <c r="C60" s="18"/>
      <c r="D60" s="19">
        <v>1.0</v>
      </c>
    </row>
    <row r="61" ht="18.0" customHeight="1">
      <c r="A61" s="13" t="s">
        <v>62</v>
      </c>
      <c r="B61" s="14">
        <f>SUM(B62:B66)</f>
        <v>8</v>
      </c>
      <c r="C61" s="13"/>
      <c r="D61" s="15">
        <f>SUM(D62:D66)</f>
        <v>8</v>
      </c>
    </row>
    <row r="62" ht="15.0" customHeight="1">
      <c r="A62" s="16" t="s">
        <v>63</v>
      </c>
      <c r="B62" s="17">
        <v>2.0</v>
      </c>
      <c r="C62" s="18"/>
      <c r="D62" s="19">
        <v>2.0</v>
      </c>
    </row>
    <row r="63" ht="15.0" customHeight="1">
      <c r="A63" s="16" t="s">
        <v>64</v>
      </c>
      <c r="B63" s="17">
        <v>2.0</v>
      </c>
      <c r="C63" s="18"/>
      <c r="D63" s="19">
        <v>2.0</v>
      </c>
    </row>
    <row r="64" ht="15.0" customHeight="1">
      <c r="A64" s="16" t="s">
        <v>65</v>
      </c>
      <c r="B64" s="17">
        <v>1.0</v>
      </c>
      <c r="C64" s="18"/>
      <c r="D64" s="19">
        <v>1.0</v>
      </c>
    </row>
    <row r="65" ht="15.0" customHeight="1">
      <c r="A65" s="16" t="s">
        <v>66</v>
      </c>
      <c r="B65" s="17">
        <v>2.0</v>
      </c>
      <c r="C65" s="18"/>
      <c r="D65" s="19">
        <v>2.0</v>
      </c>
    </row>
    <row r="66" ht="15.0" customHeight="1">
      <c r="A66" s="16" t="s">
        <v>67</v>
      </c>
      <c r="B66" s="17">
        <v>1.0</v>
      </c>
      <c r="C66" s="18"/>
      <c r="D66" s="19">
        <v>1.0</v>
      </c>
    </row>
    <row r="67" ht="18.0" customHeight="1">
      <c r="A67" s="13" t="s">
        <v>68</v>
      </c>
      <c r="B67" s="14">
        <f>SUM(B68:B71)</f>
        <v>5</v>
      </c>
      <c r="C67" s="13"/>
      <c r="D67" s="15">
        <f>SUM(D68:D71)</f>
        <v>5</v>
      </c>
    </row>
    <row r="68" ht="15.0" customHeight="1">
      <c r="A68" s="16" t="s">
        <v>69</v>
      </c>
      <c r="B68" s="17">
        <v>1.0</v>
      </c>
      <c r="C68" s="18"/>
      <c r="D68" s="19">
        <v>1.0</v>
      </c>
    </row>
    <row r="69" ht="15.0" customHeight="1">
      <c r="A69" s="16" t="s">
        <v>70</v>
      </c>
      <c r="B69" s="17">
        <v>2.0</v>
      </c>
      <c r="C69" s="18"/>
      <c r="D69" s="19">
        <v>2.0</v>
      </c>
    </row>
    <row r="70" ht="15.0" customHeight="1">
      <c r="A70" s="16" t="s">
        <v>71</v>
      </c>
      <c r="B70" s="17">
        <v>1.0</v>
      </c>
      <c r="C70" s="18"/>
      <c r="D70" s="19">
        <v>1.0</v>
      </c>
    </row>
    <row r="71" ht="15.0" customHeight="1">
      <c r="A71" s="16" t="s">
        <v>72</v>
      </c>
      <c r="B71" s="17">
        <v>1.0</v>
      </c>
      <c r="C71" s="18"/>
      <c r="D71" s="19">
        <v>1.0</v>
      </c>
    </row>
    <row r="72" ht="18.0" customHeight="1">
      <c r="A72" s="13" t="s">
        <v>73</v>
      </c>
      <c r="B72" s="14">
        <f>SUM(B73:B77)</f>
        <v>8</v>
      </c>
      <c r="C72" s="13"/>
      <c r="D72" s="15">
        <f>SUM(D73:D77)</f>
        <v>8</v>
      </c>
    </row>
    <row r="73" ht="15.0" customHeight="1">
      <c r="A73" s="16" t="s">
        <v>74</v>
      </c>
      <c r="B73" s="17">
        <v>2.0</v>
      </c>
      <c r="C73" s="18"/>
      <c r="D73" s="19">
        <v>2.0</v>
      </c>
    </row>
    <row r="74" ht="15.0" customHeight="1">
      <c r="A74" s="16" t="s">
        <v>75</v>
      </c>
      <c r="B74" s="17">
        <v>2.0</v>
      </c>
      <c r="C74" s="18"/>
      <c r="D74" s="19">
        <v>2.0</v>
      </c>
    </row>
    <row r="75" ht="15.0" customHeight="1">
      <c r="A75" s="16" t="s">
        <v>76</v>
      </c>
      <c r="B75" s="17">
        <v>1.0</v>
      </c>
      <c r="C75" s="18"/>
      <c r="D75" s="19">
        <v>1.0</v>
      </c>
    </row>
    <row r="76" ht="15.0" customHeight="1">
      <c r="A76" s="16" t="s">
        <v>77</v>
      </c>
      <c r="B76" s="17">
        <v>2.0</v>
      </c>
      <c r="C76" s="18"/>
      <c r="D76" s="19">
        <v>2.0</v>
      </c>
    </row>
    <row r="77" ht="15.0" customHeight="1">
      <c r="A77" s="16" t="s">
        <v>78</v>
      </c>
      <c r="B77" s="17">
        <v>1.0</v>
      </c>
      <c r="C77" s="18"/>
      <c r="D77" s="19">
        <v>1.0</v>
      </c>
    </row>
    <row r="78" ht="18.0" customHeight="1">
      <c r="A78" s="13" t="s">
        <v>79</v>
      </c>
      <c r="B78" s="14">
        <f>SUM(B79:B82)</f>
        <v>6</v>
      </c>
      <c r="C78" s="13"/>
      <c r="D78" s="15">
        <f>SUM(D79:D82)</f>
        <v>6</v>
      </c>
    </row>
    <row r="79" ht="15.0" customHeight="1">
      <c r="A79" s="16" t="s">
        <v>80</v>
      </c>
      <c r="B79" s="17">
        <v>2.0</v>
      </c>
      <c r="C79" s="18"/>
      <c r="D79" s="19">
        <v>2.0</v>
      </c>
    </row>
    <row r="80" ht="15.0" customHeight="1">
      <c r="A80" s="16" t="s">
        <v>81</v>
      </c>
      <c r="B80" s="17">
        <v>1.0</v>
      </c>
      <c r="C80" s="18"/>
      <c r="D80" s="19">
        <v>1.0</v>
      </c>
    </row>
    <row r="81" ht="15.0" customHeight="1">
      <c r="A81" s="16" t="s">
        <v>82</v>
      </c>
      <c r="B81" s="17">
        <v>2.0</v>
      </c>
      <c r="C81" s="18"/>
      <c r="D81" s="19">
        <v>2.0</v>
      </c>
    </row>
    <row r="82" ht="15.0" customHeight="1">
      <c r="A82" s="16" t="s">
        <v>83</v>
      </c>
      <c r="B82" s="17">
        <v>1.0</v>
      </c>
      <c r="C82" s="18"/>
      <c r="D82" s="19">
        <v>1.0</v>
      </c>
    </row>
    <row r="83" ht="19.5" customHeight="1">
      <c r="A83" s="10" t="s">
        <v>84</v>
      </c>
      <c r="B83" s="11">
        <f>B84+B87</f>
        <v>20</v>
      </c>
      <c r="C83" s="10"/>
      <c r="D83" s="12">
        <f>D84+D87</f>
        <v>2.5</v>
      </c>
    </row>
    <row r="84" ht="18.0" customHeight="1">
      <c r="A84" s="13" t="s">
        <v>85</v>
      </c>
      <c r="B84" s="14">
        <f>SUM(B85:B86)</f>
        <v>5</v>
      </c>
      <c r="C84" s="13"/>
      <c r="D84" s="15">
        <f>SUM(D85:D86)</f>
        <v>2.5</v>
      </c>
    </row>
    <row r="85" ht="15.0" customHeight="1">
      <c r="A85" s="16" t="s">
        <v>86</v>
      </c>
      <c r="B85" s="17">
        <v>2.5</v>
      </c>
      <c r="C85" s="18"/>
      <c r="D85" s="19">
        <v>0.0</v>
      </c>
    </row>
    <row r="86" ht="15.0" customHeight="1">
      <c r="A86" s="16" t="s">
        <v>87</v>
      </c>
      <c r="B86" s="17">
        <v>2.5</v>
      </c>
      <c r="C86" s="18"/>
      <c r="D86" s="19">
        <v>2.5</v>
      </c>
    </row>
    <row r="87" ht="18.0" customHeight="1">
      <c r="A87" s="13" t="s">
        <v>88</v>
      </c>
      <c r="B87" s="14">
        <f>SUM(B88:B90)</f>
        <v>15</v>
      </c>
      <c r="C87" s="13"/>
      <c r="D87" s="15">
        <f>SUM(D88:D90)</f>
        <v>0</v>
      </c>
    </row>
    <row r="88" ht="15.0" customHeight="1">
      <c r="A88" s="16" t="s">
        <v>89</v>
      </c>
      <c r="B88" s="17">
        <v>5.0</v>
      </c>
      <c r="C88" s="18"/>
      <c r="D88" s="19">
        <v>0.0</v>
      </c>
    </row>
    <row r="89" ht="15.0" customHeight="1">
      <c r="A89" s="16" t="s">
        <v>90</v>
      </c>
      <c r="B89" s="17">
        <v>5.0</v>
      </c>
      <c r="C89" s="18"/>
      <c r="D89" s="19">
        <v>0.0</v>
      </c>
    </row>
    <row r="90" ht="15.0" customHeight="1">
      <c r="A90" s="16" t="s">
        <v>91</v>
      </c>
      <c r="B90" s="17">
        <v>5.0</v>
      </c>
      <c r="C90" s="18"/>
      <c r="D90" s="19">
        <v>0.0</v>
      </c>
    </row>
    <row r="91" ht="19.5" customHeight="1">
      <c r="A91" s="21" t="s">
        <v>92</v>
      </c>
      <c r="B91" s="22">
        <f>B19+B36+B83</f>
        <v>100</v>
      </c>
      <c r="C91" s="23"/>
      <c r="D91" s="24">
        <f>D19+D36+D83</f>
        <v>82.5</v>
      </c>
    </row>
    <row r="92" ht="15.75" customHeight="1">
      <c r="A92" s="2"/>
      <c r="B92" s="2"/>
      <c r="C92" s="2"/>
      <c r="D92" s="2"/>
    </row>
    <row r="93" ht="15.75" customHeight="1">
      <c r="A93" s="1" t="s">
        <v>93</v>
      </c>
      <c r="B93" s="2"/>
      <c r="C93" s="2"/>
      <c r="D93" s="2"/>
    </row>
    <row r="94" ht="15.75" customHeight="1">
      <c r="A94" s="9" t="s">
        <v>94</v>
      </c>
      <c r="B94" s="9" t="s">
        <v>95</v>
      </c>
      <c r="C94" s="9" t="s">
        <v>18</v>
      </c>
      <c r="D94" s="9"/>
    </row>
    <row r="95" ht="15.75" customHeight="1">
      <c r="A95" s="16" t="s">
        <v>96</v>
      </c>
      <c r="B95" s="25" t="s">
        <v>97</v>
      </c>
      <c r="C95" s="26"/>
      <c r="D95" s="27"/>
    </row>
    <row r="96" ht="15.75" customHeight="1">
      <c r="A96" s="16" t="s">
        <v>98</v>
      </c>
      <c r="B96" s="25" t="s">
        <v>97</v>
      </c>
      <c r="C96" s="26"/>
      <c r="D96" s="27"/>
    </row>
    <row r="97" ht="15.75" customHeight="1">
      <c r="A97" s="16" t="s">
        <v>99</v>
      </c>
      <c r="B97" s="25" t="s">
        <v>97</v>
      </c>
      <c r="C97" s="26"/>
      <c r="D97" s="27"/>
    </row>
    <row r="98" ht="15.75" customHeight="1">
      <c r="A98" s="16" t="s">
        <v>100</v>
      </c>
      <c r="B98" s="25" t="s">
        <v>97</v>
      </c>
      <c r="C98" s="26"/>
      <c r="D98" s="27"/>
    </row>
    <row r="99" ht="15.75" customHeight="1">
      <c r="A99" s="16" t="s">
        <v>101</v>
      </c>
      <c r="B99" s="25" t="s">
        <v>97</v>
      </c>
      <c r="C99" s="26"/>
      <c r="D99" s="27"/>
    </row>
    <row r="100" ht="15.75" customHeight="1">
      <c r="A100" s="16" t="s">
        <v>102</v>
      </c>
      <c r="B100" s="25" t="s">
        <v>97</v>
      </c>
      <c r="C100" s="26"/>
      <c r="D100" s="27"/>
    </row>
    <row r="101" ht="15.75" customHeight="1">
      <c r="A101" s="2"/>
      <c r="B101" s="2"/>
      <c r="C101" s="2"/>
      <c r="D101" s="2"/>
    </row>
    <row r="102" ht="15.75" customHeight="1">
      <c r="A102" s="1" t="s">
        <v>103</v>
      </c>
      <c r="B102" s="2"/>
      <c r="C102" s="2"/>
      <c r="D102" s="2"/>
    </row>
    <row r="103" ht="15.75" customHeight="1">
      <c r="A103" s="9" t="s">
        <v>104</v>
      </c>
      <c r="B103" s="9" t="s">
        <v>105</v>
      </c>
      <c r="C103" s="9" t="s">
        <v>106</v>
      </c>
      <c r="D103" s="9" t="s">
        <v>107</v>
      </c>
    </row>
    <row r="104" ht="15.75" customHeight="1">
      <c r="A104" s="16" t="s">
        <v>108</v>
      </c>
      <c r="B104" s="28">
        <v>-0.3</v>
      </c>
      <c r="C104" s="25" t="s">
        <v>109</v>
      </c>
      <c r="D104" s="29">
        <f t="shared" ref="D104:D118" si="1">IF(C104="Sí",$D$91*B104,0)</f>
        <v>0</v>
      </c>
    </row>
    <row r="105" ht="15.75" customHeight="1">
      <c r="A105" s="16" t="s">
        <v>110</v>
      </c>
      <c r="B105" s="28">
        <v>-0.2</v>
      </c>
      <c r="C105" s="25" t="s">
        <v>109</v>
      </c>
      <c r="D105" s="29">
        <f t="shared" si="1"/>
        <v>0</v>
      </c>
    </row>
    <row r="106" ht="15.75" customHeight="1">
      <c r="A106" s="16" t="s">
        <v>111</v>
      </c>
      <c r="B106" s="28">
        <v>-1.0</v>
      </c>
      <c r="C106" s="25" t="s">
        <v>109</v>
      </c>
      <c r="D106" s="29">
        <f t="shared" si="1"/>
        <v>0</v>
      </c>
    </row>
    <row r="107" ht="15.75" customHeight="1">
      <c r="A107" s="16" t="s">
        <v>112</v>
      </c>
      <c r="B107" s="28">
        <v>-1.0</v>
      </c>
      <c r="C107" s="25" t="s">
        <v>109</v>
      </c>
      <c r="D107" s="29">
        <f t="shared" si="1"/>
        <v>0</v>
      </c>
    </row>
    <row r="108" ht="15.75" customHeight="1">
      <c r="A108" s="16" t="s">
        <v>113</v>
      </c>
      <c r="B108" s="28">
        <v>-0.75</v>
      </c>
      <c r="C108" s="25" t="s">
        <v>109</v>
      </c>
      <c r="D108" s="29">
        <f t="shared" si="1"/>
        <v>0</v>
      </c>
    </row>
    <row r="109" ht="15.75" customHeight="1">
      <c r="A109" s="16" t="s">
        <v>114</v>
      </c>
      <c r="B109" s="28">
        <v>-0.75</v>
      </c>
      <c r="C109" s="25" t="s">
        <v>109</v>
      </c>
      <c r="D109" s="29">
        <f t="shared" si="1"/>
        <v>0</v>
      </c>
    </row>
    <row r="110" ht="15.75" customHeight="1">
      <c r="A110" s="16" t="s">
        <v>115</v>
      </c>
      <c r="B110" s="28">
        <v>-0.9</v>
      </c>
      <c r="C110" s="25" t="s">
        <v>109</v>
      </c>
      <c r="D110" s="29">
        <f t="shared" si="1"/>
        <v>0</v>
      </c>
    </row>
    <row r="111" ht="15.75" customHeight="1">
      <c r="A111" s="16" t="s">
        <v>116</v>
      </c>
      <c r="B111" s="28">
        <v>-0.5</v>
      </c>
      <c r="C111" s="25" t="s">
        <v>109</v>
      </c>
      <c r="D111" s="29">
        <f t="shared" si="1"/>
        <v>0</v>
      </c>
    </row>
    <row r="112" ht="15.75" customHeight="1">
      <c r="A112" s="16" t="s">
        <v>117</v>
      </c>
      <c r="B112" s="28">
        <v>-0.5</v>
      </c>
      <c r="C112" s="25" t="s">
        <v>109</v>
      </c>
      <c r="D112" s="29">
        <f t="shared" si="1"/>
        <v>0</v>
      </c>
    </row>
    <row r="113" ht="15.75" customHeight="1">
      <c r="A113" s="16" t="s">
        <v>118</v>
      </c>
      <c r="B113" s="28">
        <v>-1.0</v>
      </c>
      <c r="C113" s="25" t="s">
        <v>109</v>
      </c>
      <c r="D113" s="29">
        <f t="shared" si="1"/>
        <v>0</v>
      </c>
    </row>
    <row r="114" ht="15.75" customHeight="1">
      <c r="A114" s="16" t="s">
        <v>119</v>
      </c>
      <c r="B114" s="28">
        <v>-0.25</v>
      </c>
      <c r="C114" s="30" t="s">
        <v>97</v>
      </c>
      <c r="D114" s="29">
        <f t="shared" si="1"/>
        <v>-20.625</v>
      </c>
    </row>
    <row r="115" ht="15.75" customHeight="1">
      <c r="A115" s="16" t="s">
        <v>120</v>
      </c>
      <c r="B115" s="28">
        <v>-1.0</v>
      </c>
      <c r="C115" s="25" t="s">
        <v>109</v>
      </c>
      <c r="D115" s="29">
        <f t="shared" si="1"/>
        <v>0</v>
      </c>
    </row>
    <row r="116" ht="15.75" customHeight="1">
      <c r="A116" s="16" t="s">
        <v>121</v>
      </c>
      <c r="B116" s="28">
        <v>-1.0</v>
      </c>
      <c r="C116" s="25" t="s">
        <v>109</v>
      </c>
      <c r="D116" s="29">
        <f t="shared" si="1"/>
        <v>0</v>
      </c>
    </row>
    <row r="117" ht="15.75" customHeight="1">
      <c r="A117" s="16" t="s">
        <v>122</v>
      </c>
      <c r="B117" s="28">
        <v>-0.5</v>
      </c>
      <c r="C117" s="25" t="s">
        <v>109</v>
      </c>
      <c r="D117" s="29">
        <f t="shared" si="1"/>
        <v>0</v>
      </c>
    </row>
    <row r="118" ht="15.75" customHeight="1">
      <c r="A118" s="16" t="s">
        <v>123</v>
      </c>
      <c r="B118" s="28">
        <v>-1.0</v>
      </c>
      <c r="C118" s="25" t="s">
        <v>109</v>
      </c>
      <c r="D118" s="29">
        <f t="shared" si="1"/>
        <v>0</v>
      </c>
    </row>
    <row r="119" ht="15.75" customHeight="1">
      <c r="A119" s="21" t="s">
        <v>124</v>
      </c>
      <c r="B119" s="23"/>
      <c r="C119" s="23"/>
      <c r="D119" s="24">
        <f>SUM(D104:D118)</f>
        <v>-20.625</v>
      </c>
    </row>
    <row r="120" ht="15.75" customHeight="1">
      <c r="A120" s="2"/>
      <c r="B120" s="2"/>
      <c r="C120" s="2"/>
      <c r="D120" s="2"/>
    </row>
    <row r="121" ht="21.75" customHeight="1">
      <c r="A121" s="31" t="s">
        <v>125</v>
      </c>
      <c r="B121" s="32"/>
      <c r="C121" s="32"/>
      <c r="D121" s="33">
        <f>MAX(0,ROUND($D$91+$D$119,2))</f>
        <v>61.88</v>
      </c>
    </row>
    <row r="122" ht="15.75" customHeight="1">
      <c r="A122" s="2"/>
      <c r="B122" s="2"/>
      <c r="C122" s="2"/>
      <c r="D122" s="2"/>
    </row>
    <row r="123" ht="15.75" customHeight="1">
      <c r="A123" s="4" t="s">
        <v>126</v>
      </c>
      <c r="B123" s="2"/>
      <c r="C123" s="2"/>
      <c r="D123" s="2"/>
    </row>
    <row r="124" ht="18.0" customHeight="1">
      <c r="A124" s="34"/>
      <c r="B124" s="35"/>
      <c r="C124" s="35"/>
      <c r="D124" s="36"/>
    </row>
    <row r="125" ht="18.0" customHeight="1">
      <c r="A125" s="34"/>
      <c r="B125" s="35"/>
      <c r="C125" s="35"/>
      <c r="D125" s="36"/>
    </row>
    <row r="126" ht="18.0" customHeight="1">
      <c r="A126" s="34"/>
      <c r="B126" s="35"/>
      <c r="C126" s="35"/>
      <c r="D126" s="36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37" t="s">
        <v>127</v>
      </c>
      <c r="B129" s="2"/>
      <c r="C129" s="37" t="s">
        <v>127</v>
      </c>
      <c r="D129" s="2"/>
    </row>
    <row r="130" ht="15.75" customHeight="1">
      <c r="A130" s="37" t="s">
        <v>128</v>
      </c>
      <c r="B130" s="2"/>
      <c r="C130" s="37" t="s">
        <v>129</v>
      </c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mergeCells count="6">
    <mergeCell ref="A14:D14"/>
    <mergeCell ref="A15:D15"/>
    <mergeCell ref="A16:D16"/>
    <mergeCell ref="A124:D124"/>
    <mergeCell ref="A125:D125"/>
    <mergeCell ref="A126:D126"/>
  </mergeCells>
  <conditionalFormatting sqref="D19:D90">
    <cfRule type="cellIs" dxfId="0" priority="1" operator="greaterThan">
      <formula>B19</formula>
    </cfRule>
  </conditionalFormatting>
  <dataValidations>
    <dataValidation type="list" allowBlank="1" sqref="B95:B100 C104:C118">
      <formula1>"Sí,No"</formula1>
    </dataValidation>
  </dataValidations>
  <printOptions horizontalCentered="1"/>
  <pageMargins bottom="1.0" footer="0.0" header="0.0" left="0.75" right="0.75" top="1.0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8.0" topLeftCell="A19" activePane="bottomLeft" state="frozen"/>
      <selection activeCell="B20" sqref="B20" pane="bottomLeft"/>
    </sheetView>
  </sheetViews>
  <sheetFormatPr customHeight="1" defaultColWidth="14.43" defaultRowHeight="15.0"/>
  <cols>
    <col customWidth="1" min="1" max="1" width="78.0"/>
    <col customWidth="1" min="2" max="2" width="11.0"/>
    <col customWidth="1" min="3" max="3" width="34.0"/>
    <col customWidth="1" min="4" max="4" width="11.0"/>
    <col customWidth="1" min="5" max="26" width="8.71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3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2"/>
      <c r="B7" s="2"/>
      <c r="C7" s="2"/>
      <c r="D7" s="2"/>
    </row>
    <row r="8">
      <c r="A8" s="3" t="s">
        <v>6</v>
      </c>
      <c r="B8" s="2"/>
      <c r="C8" s="2"/>
      <c r="D8" s="2"/>
    </row>
    <row r="9">
      <c r="A9" s="2"/>
      <c r="B9" s="2"/>
      <c r="C9" s="2"/>
      <c r="D9" s="2"/>
    </row>
    <row r="10">
      <c r="A10" s="4" t="s">
        <v>7</v>
      </c>
      <c r="B10" s="5"/>
      <c r="C10" s="2"/>
      <c r="D10" s="2"/>
    </row>
    <row r="11">
      <c r="A11" s="4" t="s">
        <v>8</v>
      </c>
      <c r="B11" s="6" t="s">
        <v>136</v>
      </c>
      <c r="C11" s="2"/>
      <c r="D11" s="2"/>
    </row>
    <row r="12">
      <c r="A12" s="4" t="s">
        <v>10</v>
      </c>
      <c r="B12" s="6">
        <v>2.02404528E8</v>
      </c>
      <c r="C12" s="2"/>
      <c r="D12" s="2"/>
    </row>
    <row r="13">
      <c r="A13" s="2"/>
      <c r="B13" s="2"/>
      <c r="C13" s="2"/>
      <c r="D13" s="2"/>
    </row>
    <row r="14" ht="25.5" customHeight="1">
      <c r="A14" s="8" t="s">
        <v>12</v>
      </c>
    </row>
    <row r="15" ht="25.5" customHeight="1">
      <c r="A15" s="8" t="s">
        <v>14</v>
      </c>
    </row>
    <row r="16" ht="25.5" customHeight="1">
      <c r="A16" s="8" t="s">
        <v>15</v>
      </c>
    </row>
    <row r="17">
      <c r="A17" s="2"/>
      <c r="B17" s="2"/>
      <c r="C17" s="2"/>
      <c r="D17" s="2"/>
    </row>
    <row r="18" ht="19.5" customHeight="1">
      <c r="A18" s="9" t="s">
        <v>16</v>
      </c>
      <c r="B18" s="9" t="s">
        <v>17</v>
      </c>
      <c r="C18" s="9" t="s">
        <v>18</v>
      </c>
      <c r="D18" s="9" t="s">
        <v>19</v>
      </c>
    </row>
    <row r="19" ht="19.5" customHeight="1">
      <c r="A19" s="10" t="s">
        <v>20</v>
      </c>
      <c r="B19" s="11">
        <f>B20+B25+B30</f>
        <v>25</v>
      </c>
      <c r="C19" s="10"/>
      <c r="D19" s="12">
        <f>D20+D25+D30</f>
        <v>25</v>
      </c>
    </row>
    <row r="20" ht="18.0" customHeight="1">
      <c r="A20" s="13" t="s">
        <v>21</v>
      </c>
      <c r="B20" s="14">
        <f>SUM(B21:B24)</f>
        <v>10</v>
      </c>
      <c r="C20" s="13"/>
      <c r="D20" s="15">
        <f>SUM(D21:D24)</f>
        <v>10</v>
      </c>
    </row>
    <row r="21" ht="15.0" customHeight="1">
      <c r="A21" s="16" t="s">
        <v>22</v>
      </c>
      <c r="B21" s="17">
        <v>3.0</v>
      </c>
      <c r="C21" s="18"/>
      <c r="D21" s="19">
        <v>3.0</v>
      </c>
    </row>
    <row r="22" ht="15.0" customHeight="1">
      <c r="A22" s="16" t="s">
        <v>23</v>
      </c>
      <c r="B22" s="17">
        <v>3.0</v>
      </c>
      <c r="C22" s="18"/>
      <c r="D22" s="19">
        <v>3.0</v>
      </c>
    </row>
    <row r="23" ht="15.0" customHeight="1">
      <c r="A23" s="16" t="s">
        <v>24</v>
      </c>
      <c r="B23" s="17">
        <v>2.0</v>
      </c>
      <c r="C23" s="18"/>
      <c r="D23" s="19">
        <v>2.0</v>
      </c>
    </row>
    <row r="24" ht="15.0" customHeight="1">
      <c r="A24" s="16" t="s">
        <v>25</v>
      </c>
      <c r="B24" s="17">
        <v>2.0</v>
      </c>
      <c r="C24" s="18"/>
      <c r="D24" s="19">
        <v>2.0</v>
      </c>
    </row>
    <row r="25" ht="18.0" customHeight="1">
      <c r="A25" s="13" t="s">
        <v>26</v>
      </c>
      <c r="B25" s="14">
        <f>SUM(B26:B29)</f>
        <v>10</v>
      </c>
      <c r="C25" s="13"/>
      <c r="D25" s="15">
        <f>SUM(D26:D29)</f>
        <v>10</v>
      </c>
    </row>
    <row r="26" ht="15.0" customHeight="1">
      <c r="A26" s="16" t="s">
        <v>27</v>
      </c>
      <c r="B26" s="17">
        <v>4.0</v>
      </c>
      <c r="C26" s="18"/>
      <c r="D26" s="19">
        <v>4.0</v>
      </c>
    </row>
    <row r="27" ht="15.0" customHeight="1">
      <c r="A27" s="16" t="s">
        <v>28</v>
      </c>
      <c r="B27" s="17">
        <v>2.0</v>
      </c>
      <c r="C27" s="18"/>
      <c r="D27" s="19">
        <v>2.0</v>
      </c>
    </row>
    <row r="28" ht="15.0" customHeight="1">
      <c r="A28" s="16" t="s">
        <v>29</v>
      </c>
      <c r="B28" s="17">
        <v>3.0</v>
      </c>
      <c r="C28" s="18"/>
      <c r="D28" s="19">
        <v>3.0</v>
      </c>
    </row>
    <row r="29" ht="15.0" customHeight="1">
      <c r="A29" s="16" t="s">
        <v>30</v>
      </c>
      <c r="B29" s="17">
        <v>1.0</v>
      </c>
      <c r="C29" s="18"/>
      <c r="D29" s="19">
        <v>1.0</v>
      </c>
    </row>
    <row r="30" ht="18.0" customHeight="1">
      <c r="A30" s="13" t="s">
        <v>31</v>
      </c>
      <c r="B30" s="14">
        <f>SUM(B31:B35)</f>
        <v>5</v>
      </c>
      <c r="C30" s="13"/>
      <c r="D30" s="15">
        <f>SUM(D31:D35)</f>
        <v>5</v>
      </c>
    </row>
    <row r="31" ht="15.0" customHeight="1">
      <c r="A31" s="16" t="s">
        <v>32</v>
      </c>
      <c r="B31" s="17">
        <v>1.0</v>
      </c>
      <c r="C31" s="18"/>
      <c r="D31" s="19">
        <v>1.0</v>
      </c>
    </row>
    <row r="32" ht="15.0" customHeight="1">
      <c r="A32" s="16" t="s">
        <v>33</v>
      </c>
      <c r="B32" s="17">
        <v>1.0</v>
      </c>
      <c r="C32" s="18"/>
      <c r="D32" s="19">
        <v>1.0</v>
      </c>
    </row>
    <row r="33" ht="15.0" customHeight="1">
      <c r="A33" s="16" t="s">
        <v>34</v>
      </c>
      <c r="B33" s="17">
        <v>1.0</v>
      </c>
      <c r="C33" s="18"/>
      <c r="D33" s="19">
        <v>1.0</v>
      </c>
    </row>
    <row r="34" ht="15.0" customHeight="1">
      <c r="A34" s="16" t="s">
        <v>35</v>
      </c>
      <c r="B34" s="17">
        <v>1.0</v>
      </c>
      <c r="C34" s="18"/>
      <c r="D34" s="19">
        <v>1.0</v>
      </c>
    </row>
    <row r="35" ht="15.0" customHeight="1">
      <c r="A35" s="16" t="s">
        <v>36</v>
      </c>
      <c r="B35" s="17">
        <v>1.0</v>
      </c>
      <c r="C35" s="18"/>
      <c r="D35" s="19">
        <v>1.0</v>
      </c>
    </row>
    <row r="36" ht="19.5" customHeight="1">
      <c r="A36" s="10" t="s">
        <v>37</v>
      </c>
      <c r="B36" s="11">
        <f>B37+B43+B55+B61+B67+B72+B78</f>
        <v>55</v>
      </c>
      <c r="C36" s="10"/>
      <c r="D36" s="12">
        <f>D37+D43+D55+D61+D67+D72+D78</f>
        <v>55</v>
      </c>
    </row>
    <row r="37" ht="18.0" customHeight="1">
      <c r="A37" s="13" t="s">
        <v>38</v>
      </c>
      <c r="B37" s="14">
        <f>SUM(B38:B42)</f>
        <v>5</v>
      </c>
      <c r="C37" s="13"/>
      <c r="D37" s="15">
        <f>SUM(D38:D42)</f>
        <v>5</v>
      </c>
    </row>
    <row r="38" ht="15.0" customHeight="1">
      <c r="A38" s="16" t="s">
        <v>39</v>
      </c>
      <c r="B38" s="17">
        <v>1.0</v>
      </c>
      <c r="C38" s="18"/>
      <c r="D38" s="19">
        <v>1.0</v>
      </c>
    </row>
    <row r="39" ht="15.0" customHeight="1">
      <c r="A39" s="16" t="s">
        <v>40</v>
      </c>
      <c r="B39" s="17">
        <v>1.0</v>
      </c>
      <c r="C39" s="18"/>
      <c r="D39" s="19">
        <v>1.0</v>
      </c>
    </row>
    <row r="40" ht="15.0" customHeight="1">
      <c r="A40" s="16" t="s">
        <v>41</v>
      </c>
      <c r="B40" s="17">
        <v>1.0</v>
      </c>
      <c r="C40" s="18"/>
      <c r="D40" s="19">
        <v>1.0</v>
      </c>
    </row>
    <row r="41" ht="15.0" customHeight="1">
      <c r="A41" s="16" t="s">
        <v>42</v>
      </c>
      <c r="B41" s="17">
        <v>1.0</v>
      </c>
      <c r="C41" s="18"/>
      <c r="D41" s="19">
        <v>1.0</v>
      </c>
    </row>
    <row r="42" ht="15.0" customHeight="1">
      <c r="A42" s="16" t="s">
        <v>43</v>
      </c>
      <c r="B42" s="17">
        <v>1.0</v>
      </c>
      <c r="C42" s="18"/>
      <c r="D42" s="19">
        <v>1.0</v>
      </c>
    </row>
    <row r="43" ht="18.0" customHeight="1">
      <c r="A43" s="13" t="s">
        <v>44</v>
      </c>
      <c r="B43" s="14">
        <f>SUM(B44:B54)</f>
        <v>15</v>
      </c>
      <c r="C43" s="13"/>
      <c r="D43" s="15">
        <f>SUM(D44:D54)</f>
        <v>15</v>
      </c>
    </row>
    <row r="44" ht="15.0" customHeight="1">
      <c r="A44" s="16" t="s">
        <v>45</v>
      </c>
      <c r="B44" s="17">
        <v>2.0</v>
      </c>
      <c r="C44" s="18"/>
      <c r="D44" s="19">
        <v>2.0</v>
      </c>
    </row>
    <row r="45" ht="15.0" customHeight="1">
      <c r="A45" s="16" t="s">
        <v>46</v>
      </c>
      <c r="B45" s="17">
        <v>1.0</v>
      </c>
      <c r="C45" s="18"/>
      <c r="D45" s="19">
        <v>1.0</v>
      </c>
    </row>
    <row r="46" ht="15.0" customHeight="1">
      <c r="A46" s="16" t="s">
        <v>47</v>
      </c>
      <c r="B46" s="17">
        <v>1.0</v>
      </c>
      <c r="C46" s="18"/>
      <c r="D46" s="19">
        <v>1.0</v>
      </c>
    </row>
    <row r="47" ht="15.0" customHeight="1">
      <c r="A47" s="16" t="s">
        <v>48</v>
      </c>
      <c r="B47" s="17">
        <v>1.0</v>
      </c>
      <c r="C47" s="18"/>
      <c r="D47" s="19">
        <v>1.0</v>
      </c>
    </row>
    <row r="48" ht="15.0" customHeight="1">
      <c r="A48" s="16" t="s">
        <v>49</v>
      </c>
      <c r="B48" s="17">
        <v>2.0</v>
      </c>
      <c r="C48" s="18"/>
      <c r="D48" s="19">
        <v>2.0</v>
      </c>
    </row>
    <row r="49" ht="15.0" customHeight="1">
      <c r="A49" s="16" t="s">
        <v>50</v>
      </c>
      <c r="B49" s="17">
        <v>2.0</v>
      </c>
      <c r="C49" s="18"/>
      <c r="D49" s="19">
        <v>2.0</v>
      </c>
    </row>
    <row r="50" ht="15.0" customHeight="1">
      <c r="A50" s="16" t="s">
        <v>51</v>
      </c>
      <c r="B50" s="17">
        <v>1.0</v>
      </c>
      <c r="C50" s="18"/>
      <c r="D50" s="19">
        <v>1.0</v>
      </c>
    </row>
    <row r="51" ht="15.0" customHeight="1">
      <c r="A51" s="16" t="s">
        <v>52</v>
      </c>
      <c r="B51" s="17">
        <v>1.0</v>
      </c>
      <c r="C51" s="18"/>
      <c r="D51" s="19">
        <v>1.0</v>
      </c>
    </row>
    <row r="52" ht="15.0" customHeight="1">
      <c r="A52" s="16" t="s">
        <v>53</v>
      </c>
      <c r="B52" s="17">
        <v>2.0</v>
      </c>
      <c r="C52" s="18"/>
      <c r="D52" s="19">
        <v>2.0</v>
      </c>
    </row>
    <row r="53" ht="15.0" customHeight="1">
      <c r="A53" s="16" t="s">
        <v>54</v>
      </c>
      <c r="B53" s="17">
        <v>1.0</v>
      </c>
      <c r="C53" s="18"/>
      <c r="D53" s="19">
        <v>1.0</v>
      </c>
    </row>
    <row r="54" ht="15.0" customHeight="1">
      <c r="A54" s="16" t="s">
        <v>55</v>
      </c>
      <c r="B54" s="17">
        <v>1.0</v>
      </c>
      <c r="C54" s="18"/>
      <c r="D54" s="19">
        <v>1.0</v>
      </c>
    </row>
    <row r="55" ht="18.0" customHeight="1">
      <c r="A55" s="13" t="s">
        <v>56</v>
      </c>
      <c r="B55" s="14">
        <f>SUM(B56:B60)</f>
        <v>8</v>
      </c>
      <c r="C55" s="13"/>
      <c r="D55" s="15">
        <f>SUM(D56:D60)</f>
        <v>8</v>
      </c>
    </row>
    <row r="56" ht="15.0" customHeight="1">
      <c r="A56" s="16" t="s">
        <v>57</v>
      </c>
      <c r="B56" s="17">
        <v>1.0</v>
      </c>
      <c r="C56" s="18"/>
      <c r="D56" s="19">
        <v>1.0</v>
      </c>
    </row>
    <row r="57" ht="15.0" customHeight="1">
      <c r="A57" s="16" t="s">
        <v>58</v>
      </c>
      <c r="B57" s="17">
        <v>2.0</v>
      </c>
      <c r="C57" s="18"/>
      <c r="D57" s="19">
        <v>2.0</v>
      </c>
    </row>
    <row r="58" ht="15.0" customHeight="1">
      <c r="A58" s="16" t="s">
        <v>59</v>
      </c>
      <c r="B58" s="17">
        <v>2.0</v>
      </c>
      <c r="C58" s="18"/>
      <c r="D58" s="19">
        <v>2.0</v>
      </c>
    </row>
    <row r="59" ht="15.0" customHeight="1">
      <c r="A59" s="16" t="s">
        <v>60</v>
      </c>
      <c r="B59" s="17">
        <v>2.0</v>
      </c>
      <c r="C59" s="18"/>
      <c r="D59" s="19">
        <v>2.0</v>
      </c>
    </row>
    <row r="60" ht="15.0" customHeight="1">
      <c r="A60" s="16" t="s">
        <v>61</v>
      </c>
      <c r="B60" s="17">
        <v>1.0</v>
      </c>
      <c r="C60" s="18"/>
      <c r="D60" s="19">
        <v>1.0</v>
      </c>
    </row>
    <row r="61" ht="18.0" customHeight="1">
      <c r="A61" s="13" t="s">
        <v>62</v>
      </c>
      <c r="B61" s="14">
        <f>SUM(B62:B66)</f>
        <v>8</v>
      </c>
      <c r="C61" s="13"/>
      <c r="D61" s="15">
        <f>SUM(D62:D66)</f>
        <v>8</v>
      </c>
    </row>
    <row r="62" ht="15.0" customHeight="1">
      <c r="A62" s="16" t="s">
        <v>63</v>
      </c>
      <c r="B62" s="17">
        <v>2.0</v>
      </c>
      <c r="C62" s="18"/>
      <c r="D62" s="19">
        <v>2.0</v>
      </c>
    </row>
    <row r="63" ht="15.0" customHeight="1">
      <c r="A63" s="16" t="s">
        <v>64</v>
      </c>
      <c r="B63" s="17">
        <v>2.0</v>
      </c>
      <c r="C63" s="18"/>
      <c r="D63" s="19">
        <v>2.0</v>
      </c>
    </row>
    <row r="64" ht="15.0" customHeight="1">
      <c r="A64" s="16" t="s">
        <v>65</v>
      </c>
      <c r="B64" s="17">
        <v>1.0</v>
      </c>
      <c r="C64" s="18"/>
      <c r="D64" s="19">
        <v>1.0</v>
      </c>
    </row>
    <row r="65" ht="15.0" customHeight="1">
      <c r="A65" s="16" t="s">
        <v>66</v>
      </c>
      <c r="B65" s="17">
        <v>2.0</v>
      </c>
      <c r="C65" s="18"/>
      <c r="D65" s="19">
        <v>2.0</v>
      </c>
    </row>
    <row r="66" ht="15.0" customHeight="1">
      <c r="A66" s="16" t="s">
        <v>67</v>
      </c>
      <c r="B66" s="17">
        <v>1.0</v>
      </c>
      <c r="C66" s="18"/>
      <c r="D66" s="19">
        <v>1.0</v>
      </c>
    </row>
    <row r="67" ht="18.0" customHeight="1">
      <c r="A67" s="13" t="s">
        <v>68</v>
      </c>
      <c r="B67" s="14">
        <f>SUM(B68:B71)</f>
        <v>5</v>
      </c>
      <c r="C67" s="13"/>
      <c r="D67" s="15">
        <f>SUM(D68:D71)</f>
        <v>5</v>
      </c>
    </row>
    <row r="68" ht="15.0" customHeight="1">
      <c r="A68" s="16" t="s">
        <v>69</v>
      </c>
      <c r="B68" s="17">
        <v>1.0</v>
      </c>
      <c r="C68" s="18"/>
      <c r="D68" s="19">
        <v>1.0</v>
      </c>
    </row>
    <row r="69" ht="15.0" customHeight="1">
      <c r="A69" s="16" t="s">
        <v>70</v>
      </c>
      <c r="B69" s="17">
        <v>2.0</v>
      </c>
      <c r="C69" s="18"/>
      <c r="D69" s="19">
        <v>2.0</v>
      </c>
    </row>
    <row r="70" ht="15.0" customHeight="1">
      <c r="A70" s="16" t="s">
        <v>71</v>
      </c>
      <c r="B70" s="17">
        <v>1.0</v>
      </c>
      <c r="C70" s="18"/>
      <c r="D70" s="19">
        <v>1.0</v>
      </c>
    </row>
    <row r="71" ht="15.0" customHeight="1">
      <c r="A71" s="16" t="s">
        <v>72</v>
      </c>
      <c r="B71" s="17">
        <v>1.0</v>
      </c>
      <c r="C71" s="18"/>
      <c r="D71" s="19">
        <v>1.0</v>
      </c>
    </row>
    <row r="72" ht="18.0" customHeight="1">
      <c r="A72" s="13" t="s">
        <v>73</v>
      </c>
      <c r="B72" s="14">
        <f>SUM(B73:B77)</f>
        <v>8</v>
      </c>
      <c r="C72" s="13"/>
      <c r="D72" s="15">
        <f>SUM(D73:D77)</f>
        <v>8</v>
      </c>
    </row>
    <row r="73" ht="15.0" customHeight="1">
      <c r="A73" s="16" t="s">
        <v>74</v>
      </c>
      <c r="B73" s="17">
        <v>2.0</v>
      </c>
      <c r="C73" s="18"/>
      <c r="D73" s="19">
        <v>2.0</v>
      </c>
    </row>
    <row r="74" ht="15.0" customHeight="1">
      <c r="A74" s="16" t="s">
        <v>75</v>
      </c>
      <c r="B74" s="17">
        <v>2.0</v>
      </c>
      <c r="C74" s="18"/>
      <c r="D74" s="19">
        <v>2.0</v>
      </c>
    </row>
    <row r="75" ht="15.0" customHeight="1">
      <c r="A75" s="16" t="s">
        <v>76</v>
      </c>
      <c r="B75" s="17">
        <v>1.0</v>
      </c>
      <c r="C75" s="18"/>
      <c r="D75" s="19">
        <v>1.0</v>
      </c>
    </row>
    <row r="76" ht="15.0" customHeight="1">
      <c r="A76" s="16" t="s">
        <v>77</v>
      </c>
      <c r="B76" s="17">
        <v>2.0</v>
      </c>
      <c r="C76" s="18"/>
      <c r="D76" s="19">
        <v>2.0</v>
      </c>
    </row>
    <row r="77" ht="15.0" customHeight="1">
      <c r="A77" s="16" t="s">
        <v>78</v>
      </c>
      <c r="B77" s="17">
        <v>1.0</v>
      </c>
      <c r="C77" s="18"/>
      <c r="D77" s="19">
        <v>1.0</v>
      </c>
    </row>
    <row r="78" ht="18.0" customHeight="1">
      <c r="A78" s="13" t="s">
        <v>79</v>
      </c>
      <c r="B78" s="14">
        <f>SUM(B79:B82)</f>
        <v>6</v>
      </c>
      <c r="C78" s="13"/>
      <c r="D78" s="15">
        <f>SUM(D79:D82)</f>
        <v>6</v>
      </c>
    </row>
    <row r="79" ht="15.0" customHeight="1">
      <c r="A79" s="16" t="s">
        <v>80</v>
      </c>
      <c r="B79" s="17">
        <v>2.0</v>
      </c>
      <c r="C79" s="18"/>
      <c r="D79" s="19">
        <v>2.0</v>
      </c>
    </row>
    <row r="80" ht="15.0" customHeight="1">
      <c r="A80" s="16" t="s">
        <v>81</v>
      </c>
      <c r="B80" s="17">
        <v>1.0</v>
      </c>
      <c r="C80" s="18"/>
      <c r="D80" s="19">
        <v>1.0</v>
      </c>
    </row>
    <row r="81" ht="15.0" customHeight="1">
      <c r="A81" s="16" t="s">
        <v>82</v>
      </c>
      <c r="B81" s="17">
        <v>2.0</v>
      </c>
      <c r="C81" s="18"/>
      <c r="D81" s="19">
        <v>2.0</v>
      </c>
    </row>
    <row r="82" ht="15.0" customHeight="1">
      <c r="A82" s="16" t="s">
        <v>83</v>
      </c>
      <c r="B82" s="17">
        <v>1.0</v>
      </c>
      <c r="C82" s="18"/>
      <c r="D82" s="19">
        <v>1.0</v>
      </c>
    </row>
    <row r="83" ht="19.5" customHeight="1">
      <c r="A83" s="10" t="s">
        <v>84</v>
      </c>
      <c r="B83" s="11">
        <f>B84+B87</f>
        <v>20</v>
      </c>
      <c r="C83" s="10"/>
      <c r="D83" s="12">
        <f>D84+D87</f>
        <v>20</v>
      </c>
    </row>
    <row r="84" ht="18.0" customHeight="1">
      <c r="A84" s="13" t="s">
        <v>85</v>
      </c>
      <c r="B84" s="14">
        <f>SUM(B85:B86)</f>
        <v>5</v>
      </c>
      <c r="C84" s="13"/>
      <c r="D84" s="15">
        <f>SUM(D85:D86)</f>
        <v>5</v>
      </c>
    </row>
    <row r="85" ht="15.0" customHeight="1">
      <c r="A85" s="16" t="s">
        <v>86</v>
      </c>
      <c r="B85" s="17">
        <v>2.5</v>
      </c>
      <c r="C85" s="18"/>
      <c r="D85" s="30">
        <v>2.5</v>
      </c>
    </row>
    <row r="86" ht="15.0" customHeight="1">
      <c r="A86" s="16" t="s">
        <v>87</v>
      </c>
      <c r="B86" s="17">
        <v>2.5</v>
      </c>
      <c r="C86" s="18"/>
      <c r="D86" s="19">
        <v>2.5</v>
      </c>
    </row>
    <row r="87" ht="18.0" customHeight="1">
      <c r="A87" s="13" t="s">
        <v>88</v>
      </c>
      <c r="B87" s="14">
        <f>SUM(B88:B90)</f>
        <v>15</v>
      </c>
      <c r="C87" s="13"/>
      <c r="D87" s="15">
        <f>SUM(D88:D90)</f>
        <v>15</v>
      </c>
    </row>
    <row r="88" ht="15.0" customHeight="1">
      <c r="A88" s="16" t="s">
        <v>89</v>
      </c>
      <c r="B88" s="17">
        <v>5.0</v>
      </c>
      <c r="C88" s="18"/>
      <c r="D88" s="19">
        <v>5.0</v>
      </c>
    </row>
    <row r="89" ht="15.0" customHeight="1">
      <c r="A89" s="16" t="s">
        <v>90</v>
      </c>
      <c r="B89" s="17">
        <v>5.0</v>
      </c>
      <c r="C89" s="18"/>
      <c r="D89" s="19">
        <v>5.0</v>
      </c>
    </row>
    <row r="90" ht="15.0" customHeight="1">
      <c r="A90" s="16" t="s">
        <v>91</v>
      </c>
      <c r="B90" s="17">
        <v>5.0</v>
      </c>
      <c r="C90" s="18"/>
      <c r="D90" s="19">
        <v>5.0</v>
      </c>
    </row>
    <row r="91" ht="19.5" customHeight="1">
      <c r="A91" s="21" t="s">
        <v>92</v>
      </c>
      <c r="B91" s="22">
        <f>B19+B36+B83</f>
        <v>100</v>
      </c>
      <c r="C91" s="23"/>
      <c r="D91" s="24">
        <f>D19+D36+D83</f>
        <v>100</v>
      </c>
    </row>
    <row r="92" ht="15.75" customHeight="1">
      <c r="A92" s="2"/>
      <c r="B92" s="2"/>
      <c r="C92" s="2"/>
      <c r="D92" s="2"/>
    </row>
    <row r="93" ht="15.75" customHeight="1">
      <c r="A93" s="1" t="s">
        <v>93</v>
      </c>
      <c r="B93" s="2"/>
      <c r="C93" s="2"/>
      <c r="D93" s="2"/>
    </row>
    <row r="94" ht="15.75" customHeight="1">
      <c r="A94" s="9" t="s">
        <v>94</v>
      </c>
      <c r="B94" s="9" t="s">
        <v>95</v>
      </c>
      <c r="C94" s="9" t="s">
        <v>18</v>
      </c>
      <c r="D94" s="9"/>
    </row>
    <row r="95" ht="15.75" customHeight="1">
      <c r="A95" s="16" t="s">
        <v>96</v>
      </c>
      <c r="B95" s="25" t="s">
        <v>97</v>
      </c>
      <c r="C95" s="26"/>
      <c r="D95" s="27"/>
    </row>
    <row r="96" ht="15.75" customHeight="1">
      <c r="A96" s="16" t="s">
        <v>98</v>
      </c>
      <c r="B96" s="25" t="s">
        <v>97</v>
      </c>
      <c r="C96" s="26"/>
      <c r="D96" s="27"/>
    </row>
    <row r="97" ht="15.75" customHeight="1">
      <c r="A97" s="16" t="s">
        <v>99</v>
      </c>
      <c r="B97" s="25" t="s">
        <v>97</v>
      </c>
      <c r="C97" s="26"/>
      <c r="D97" s="27"/>
    </row>
    <row r="98" ht="15.75" customHeight="1">
      <c r="A98" s="16" t="s">
        <v>100</v>
      </c>
      <c r="B98" s="25" t="s">
        <v>97</v>
      </c>
      <c r="C98" s="26"/>
      <c r="D98" s="27"/>
    </row>
    <row r="99" ht="15.75" customHeight="1">
      <c r="A99" s="16" t="s">
        <v>101</v>
      </c>
      <c r="B99" s="25" t="s">
        <v>97</v>
      </c>
      <c r="C99" s="26"/>
      <c r="D99" s="27"/>
    </row>
    <row r="100" ht="15.75" customHeight="1">
      <c r="A100" s="16" t="s">
        <v>102</v>
      </c>
      <c r="B100" s="25" t="s">
        <v>97</v>
      </c>
      <c r="C100" s="26"/>
      <c r="D100" s="27"/>
    </row>
    <row r="101" ht="15.75" customHeight="1">
      <c r="A101" s="2"/>
      <c r="B101" s="2"/>
      <c r="C101" s="2"/>
      <c r="D101" s="2"/>
    </row>
    <row r="102" ht="15.75" customHeight="1">
      <c r="A102" s="1" t="s">
        <v>103</v>
      </c>
      <c r="B102" s="2"/>
      <c r="C102" s="2"/>
      <c r="D102" s="2"/>
    </row>
    <row r="103" ht="15.75" customHeight="1">
      <c r="A103" s="9" t="s">
        <v>104</v>
      </c>
      <c r="B103" s="9" t="s">
        <v>105</v>
      </c>
      <c r="C103" s="9" t="s">
        <v>106</v>
      </c>
      <c r="D103" s="9" t="s">
        <v>107</v>
      </c>
    </row>
    <row r="104" ht="15.75" customHeight="1">
      <c r="A104" s="16" t="s">
        <v>108</v>
      </c>
      <c r="B104" s="28">
        <v>-0.3</v>
      </c>
      <c r="C104" s="25" t="s">
        <v>109</v>
      </c>
      <c r="D104" s="29">
        <f t="shared" ref="D104:D118" si="1">IF(C104="Sí",$D$91*B104,0)</f>
        <v>0</v>
      </c>
    </row>
    <row r="105" ht="15.75" customHeight="1">
      <c r="A105" s="16" t="s">
        <v>110</v>
      </c>
      <c r="B105" s="28">
        <v>-0.2</v>
      </c>
      <c r="C105" s="25" t="s">
        <v>109</v>
      </c>
      <c r="D105" s="29">
        <f t="shared" si="1"/>
        <v>0</v>
      </c>
    </row>
    <row r="106" ht="15.75" customHeight="1">
      <c r="A106" s="16" t="s">
        <v>111</v>
      </c>
      <c r="B106" s="28">
        <v>-1.0</v>
      </c>
      <c r="C106" s="25" t="s">
        <v>109</v>
      </c>
      <c r="D106" s="29">
        <f t="shared" si="1"/>
        <v>0</v>
      </c>
    </row>
    <row r="107" ht="15.75" customHeight="1">
      <c r="A107" s="16" t="s">
        <v>112</v>
      </c>
      <c r="B107" s="28">
        <v>-1.0</v>
      </c>
      <c r="C107" s="25" t="s">
        <v>109</v>
      </c>
      <c r="D107" s="29">
        <f t="shared" si="1"/>
        <v>0</v>
      </c>
    </row>
    <row r="108" ht="15.75" customHeight="1">
      <c r="A108" s="16" t="s">
        <v>113</v>
      </c>
      <c r="B108" s="28">
        <v>-0.75</v>
      </c>
      <c r="C108" s="25" t="s">
        <v>109</v>
      </c>
      <c r="D108" s="29">
        <f t="shared" si="1"/>
        <v>0</v>
      </c>
    </row>
    <row r="109" ht="15.75" customHeight="1">
      <c r="A109" s="16" t="s">
        <v>114</v>
      </c>
      <c r="B109" s="28">
        <v>-0.75</v>
      </c>
      <c r="C109" s="25" t="s">
        <v>109</v>
      </c>
      <c r="D109" s="29">
        <f t="shared" si="1"/>
        <v>0</v>
      </c>
    </row>
    <row r="110" ht="15.75" customHeight="1">
      <c r="A110" s="16" t="s">
        <v>115</v>
      </c>
      <c r="B110" s="28">
        <v>-0.9</v>
      </c>
      <c r="C110" s="25" t="s">
        <v>109</v>
      </c>
      <c r="D110" s="29">
        <f t="shared" si="1"/>
        <v>0</v>
      </c>
    </row>
    <row r="111" ht="15.75" customHeight="1">
      <c r="A111" s="16" t="s">
        <v>116</v>
      </c>
      <c r="B111" s="28">
        <v>-0.5</v>
      </c>
      <c r="C111" s="25" t="s">
        <v>109</v>
      </c>
      <c r="D111" s="29">
        <f t="shared" si="1"/>
        <v>0</v>
      </c>
    </row>
    <row r="112" ht="15.75" customHeight="1">
      <c r="A112" s="16" t="s">
        <v>117</v>
      </c>
      <c r="B112" s="28">
        <v>-0.5</v>
      </c>
      <c r="C112" s="25" t="s">
        <v>109</v>
      </c>
      <c r="D112" s="29">
        <f t="shared" si="1"/>
        <v>0</v>
      </c>
    </row>
    <row r="113" ht="15.75" customHeight="1">
      <c r="A113" s="16" t="s">
        <v>118</v>
      </c>
      <c r="B113" s="28">
        <v>-1.0</v>
      </c>
      <c r="C113" s="25" t="s">
        <v>109</v>
      </c>
      <c r="D113" s="29">
        <f t="shared" si="1"/>
        <v>0</v>
      </c>
    </row>
    <row r="114" ht="15.75" customHeight="1">
      <c r="A114" s="16" t="s">
        <v>119</v>
      </c>
      <c r="B114" s="28">
        <v>-0.25</v>
      </c>
      <c r="C114" s="30" t="s">
        <v>97</v>
      </c>
      <c r="D114" s="29">
        <f t="shared" si="1"/>
        <v>-25</v>
      </c>
    </row>
    <row r="115" ht="15.75" customHeight="1">
      <c r="A115" s="16" t="s">
        <v>120</v>
      </c>
      <c r="B115" s="28">
        <v>-1.0</v>
      </c>
      <c r="C115" s="25" t="s">
        <v>109</v>
      </c>
      <c r="D115" s="29">
        <f t="shared" si="1"/>
        <v>0</v>
      </c>
    </row>
    <row r="116" ht="15.75" customHeight="1">
      <c r="A116" s="16" t="s">
        <v>121</v>
      </c>
      <c r="B116" s="28">
        <v>-1.0</v>
      </c>
      <c r="C116" s="25" t="s">
        <v>109</v>
      </c>
      <c r="D116" s="29">
        <f t="shared" si="1"/>
        <v>0</v>
      </c>
    </row>
    <row r="117" ht="15.75" customHeight="1">
      <c r="A117" s="16" t="s">
        <v>122</v>
      </c>
      <c r="B117" s="28">
        <v>-0.5</v>
      </c>
      <c r="C117" s="25" t="s">
        <v>109</v>
      </c>
      <c r="D117" s="29">
        <f t="shared" si="1"/>
        <v>0</v>
      </c>
    </row>
    <row r="118" ht="15.75" customHeight="1">
      <c r="A118" s="16" t="s">
        <v>123</v>
      </c>
      <c r="B118" s="28">
        <v>-1.0</v>
      </c>
      <c r="C118" s="25" t="s">
        <v>109</v>
      </c>
      <c r="D118" s="29">
        <f t="shared" si="1"/>
        <v>0</v>
      </c>
    </row>
    <row r="119" ht="15.75" customHeight="1">
      <c r="A119" s="21" t="s">
        <v>124</v>
      </c>
      <c r="B119" s="23"/>
      <c r="C119" s="23"/>
      <c r="D119" s="24">
        <f>SUM(D104:D118)</f>
        <v>-25</v>
      </c>
    </row>
    <row r="120" ht="15.75" customHeight="1">
      <c r="A120" s="2"/>
      <c r="B120" s="2"/>
      <c r="C120" s="2"/>
      <c r="D120" s="2"/>
    </row>
    <row r="121" ht="21.75" customHeight="1">
      <c r="A121" s="31" t="s">
        <v>125</v>
      </c>
      <c r="B121" s="32"/>
      <c r="C121" s="32"/>
      <c r="D121" s="33">
        <f>MAX(0,ROUND($D$91+$D$119,2))</f>
        <v>75</v>
      </c>
    </row>
    <row r="122" ht="15.75" customHeight="1">
      <c r="A122" s="2"/>
      <c r="B122" s="2"/>
      <c r="C122" s="2"/>
      <c r="D122" s="2"/>
    </row>
    <row r="123" ht="15.75" customHeight="1">
      <c r="A123" s="4" t="s">
        <v>126</v>
      </c>
      <c r="B123" s="2"/>
      <c r="C123" s="2"/>
      <c r="D123" s="2"/>
    </row>
    <row r="124" ht="18.0" customHeight="1">
      <c r="A124" s="34"/>
      <c r="B124" s="35"/>
      <c r="C124" s="35"/>
      <c r="D124" s="36"/>
    </row>
    <row r="125" ht="18.0" customHeight="1">
      <c r="A125" s="34"/>
      <c r="B125" s="35"/>
      <c r="C125" s="35"/>
      <c r="D125" s="36"/>
    </row>
    <row r="126" ht="18.0" customHeight="1">
      <c r="A126" s="34"/>
      <c r="B126" s="35"/>
      <c r="C126" s="35"/>
      <c r="D126" s="36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37" t="s">
        <v>127</v>
      </c>
      <c r="B129" s="2"/>
      <c r="C129" s="37" t="s">
        <v>127</v>
      </c>
      <c r="D129" s="2"/>
    </row>
    <row r="130" ht="15.75" customHeight="1">
      <c r="A130" s="37" t="s">
        <v>128</v>
      </c>
      <c r="B130" s="2"/>
      <c r="C130" s="37" t="s">
        <v>129</v>
      </c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mergeCells count="6">
    <mergeCell ref="A14:D14"/>
    <mergeCell ref="A15:D15"/>
    <mergeCell ref="A16:D16"/>
    <mergeCell ref="A124:D124"/>
    <mergeCell ref="A125:D125"/>
    <mergeCell ref="A126:D126"/>
  </mergeCells>
  <conditionalFormatting sqref="D19:D90">
    <cfRule type="cellIs" dxfId="0" priority="1" operator="greaterThan">
      <formula>B19</formula>
    </cfRule>
  </conditionalFormatting>
  <dataValidations>
    <dataValidation type="list" allowBlank="1" sqref="B95:B100 C104:C118">
      <formula1>"Sí,No"</formula1>
    </dataValidation>
  </dataValidations>
  <printOptions horizontalCentered="1"/>
  <pageMargins bottom="1.0" footer="0.0" header="0.0" left="0.75" right="0.75" top="1.0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8.0" topLeftCell="A19" activePane="bottomLeft" state="frozen"/>
      <selection activeCell="B20" sqref="B20" pane="bottomLeft"/>
    </sheetView>
  </sheetViews>
  <sheetFormatPr customHeight="1" defaultColWidth="14.43" defaultRowHeight="15.0"/>
  <cols>
    <col customWidth="1" min="1" max="1" width="78.0"/>
    <col customWidth="1" min="2" max="2" width="11.0"/>
    <col customWidth="1" min="3" max="3" width="34.0"/>
    <col customWidth="1" min="4" max="4" width="11.0"/>
    <col customWidth="1" min="5" max="26" width="8.71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3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2"/>
      <c r="B7" s="2"/>
      <c r="C7" s="2"/>
      <c r="D7" s="2"/>
    </row>
    <row r="8">
      <c r="A8" s="3" t="s">
        <v>6</v>
      </c>
      <c r="B8" s="2"/>
      <c r="C8" s="2"/>
      <c r="D8" s="2"/>
    </row>
    <row r="9">
      <c r="A9" s="2"/>
      <c r="B9" s="2"/>
      <c r="C9" s="2"/>
      <c r="D9" s="2"/>
    </row>
    <row r="10">
      <c r="A10" s="4" t="s">
        <v>7</v>
      </c>
      <c r="B10" s="5"/>
      <c r="C10" s="2"/>
      <c r="D10" s="2"/>
    </row>
    <row r="11">
      <c r="A11" s="4" t="s">
        <v>8</v>
      </c>
      <c r="B11" s="6" t="s">
        <v>137</v>
      </c>
      <c r="C11" s="2"/>
      <c r="D11" s="2"/>
    </row>
    <row r="12">
      <c r="A12" s="4" t="s">
        <v>10</v>
      </c>
      <c r="B12" s="6">
        <v>2.02403338E8</v>
      </c>
      <c r="C12" s="2"/>
      <c r="D12" s="2"/>
    </row>
    <row r="13">
      <c r="A13" s="2"/>
      <c r="B13" s="2"/>
      <c r="C13" s="2"/>
      <c r="D13" s="2"/>
    </row>
    <row r="14" ht="25.5" customHeight="1">
      <c r="A14" s="8" t="s">
        <v>12</v>
      </c>
    </row>
    <row r="15" ht="25.5" customHeight="1">
      <c r="A15" s="8" t="s">
        <v>14</v>
      </c>
    </row>
    <row r="16" ht="25.5" customHeight="1">
      <c r="A16" s="8" t="s">
        <v>15</v>
      </c>
    </row>
    <row r="17">
      <c r="A17" s="2"/>
      <c r="B17" s="2"/>
      <c r="C17" s="2"/>
      <c r="D17" s="2"/>
    </row>
    <row r="18" ht="19.5" customHeight="1">
      <c r="A18" s="9" t="s">
        <v>16</v>
      </c>
      <c r="B18" s="9" t="s">
        <v>17</v>
      </c>
      <c r="C18" s="9" t="s">
        <v>18</v>
      </c>
      <c r="D18" s="9" t="s">
        <v>19</v>
      </c>
    </row>
    <row r="19" ht="19.5" customHeight="1">
      <c r="A19" s="10" t="s">
        <v>20</v>
      </c>
      <c r="B19" s="11">
        <f>B20+B25+B30</f>
        <v>25</v>
      </c>
      <c r="C19" s="10"/>
      <c r="D19" s="12">
        <f>D20+D25+D30</f>
        <v>25</v>
      </c>
    </row>
    <row r="20" ht="18.0" customHeight="1">
      <c r="A20" s="13" t="s">
        <v>21</v>
      </c>
      <c r="B20" s="14">
        <f>SUM(B21:B24)</f>
        <v>10</v>
      </c>
      <c r="C20" s="13"/>
      <c r="D20" s="15">
        <f>SUM(D21:D24)</f>
        <v>10</v>
      </c>
    </row>
    <row r="21" ht="15.0" customHeight="1">
      <c r="A21" s="16" t="s">
        <v>22</v>
      </c>
      <c r="B21" s="17">
        <v>3.0</v>
      </c>
      <c r="C21" s="18"/>
      <c r="D21" s="19">
        <v>3.0</v>
      </c>
    </row>
    <row r="22" ht="15.0" customHeight="1">
      <c r="A22" s="16" t="s">
        <v>23</v>
      </c>
      <c r="B22" s="17">
        <v>3.0</v>
      </c>
      <c r="C22" s="18"/>
      <c r="D22" s="19">
        <v>3.0</v>
      </c>
    </row>
    <row r="23" ht="15.0" customHeight="1">
      <c r="A23" s="16" t="s">
        <v>24</v>
      </c>
      <c r="B23" s="17">
        <v>2.0</v>
      </c>
      <c r="C23" s="18"/>
      <c r="D23" s="19">
        <v>2.0</v>
      </c>
    </row>
    <row r="24" ht="15.0" customHeight="1">
      <c r="A24" s="16" t="s">
        <v>25</v>
      </c>
      <c r="B24" s="17">
        <v>2.0</v>
      </c>
      <c r="C24" s="18"/>
      <c r="D24" s="19">
        <v>2.0</v>
      </c>
    </row>
    <row r="25" ht="18.0" customHeight="1">
      <c r="A25" s="13" t="s">
        <v>26</v>
      </c>
      <c r="B25" s="14">
        <f>SUM(B26:B29)</f>
        <v>10</v>
      </c>
      <c r="C25" s="13"/>
      <c r="D25" s="15">
        <f>SUM(D26:D29)</f>
        <v>10</v>
      </c>
    </row>
    <row r="26" ht="15.0" customHeight="1">
      <c r="A26" s="16" t="s">
        <v>27</v>
      </c>
      <c r="B26" s="17">
        <v>4.0</v>
      </c>
      <c r="C26" s="18"/>
      <c r="D26" s="19">
        <v>4.0</v>
      </c>
    </row>
    <row r="27" ht="15.0" customHeight="1">
      <c r="A27" s="16" t="s">
        <v>28</v>
      </c>
      <c r="B27" s="17">
        <v>2.0</v>
      </c>
      <c r="C27" s="18"/>
      <c r="D27" s="19">
        <v>2.0</v>
      </c>
    </row>
    <row r="28" ht="15.0" customHeight="1">
      <c r="A28" s="16" t="s">
        <v>29</v>
      </c>
      <c r="B28" s="17">
        <v>3.0</v>
      </c>
      <c r="C28" s="18"/>
      <c r="D28" s="19">
        <v>3.0</v>
      </c>
    </row>
    <row r="29" ht="15.0" customHeight="1">
      <c r="A29" s="16" t="s">
        <v>30</v>
      </c>
      <c r="B29" s="17">
        <v>1.0</v>
      </c>
      <c r="C29" s="18"/>
      <c r="D29" s="19">
        <v>1.0</v>
      </c>
    </row>
    <row r="30" ht="18.0" customHeight="1">
      <c r="A30" s="13" t="s">
        <v>31</v>
      </c>
      <c r="B30" s="14">
        <f>SUM(B31:B35)</f>
        <v>5</v>
      </c>
      <c r="C30" s="13"/>
      <c r="D30" s="15">
        <f>SUM(D31:D35)</f>
        <v>5</v>
      </c>
    </row>
    <row r="31" ht="15.0" customHeight="1">
      <c r="A31" s="16" t="s">
        <v>32</v>
      </c>
      <c r="B31" s="17">
        <v>1.0</v>
      </c>
      <c r="C31" s="18"/>
      <c r="D31" s="19">
        <v>1.0</v>
      </c>
    </row>
    <row r="32" ht="15.0" customHeight="1">
      <c r="A32" s="16" t="s">
        <v>33</v>
      </c>
      <c r="B32" s="17">
        <v>1.0</v>
      </c>
      <c r="C32" s="18"/>
      <c r="D32" s="19">
        <v>1.0</v>
      </c>
    </row>
    <row r="33" ht="15.0" customHeight="1">
      <c r="A33" s="16" t="s">
        <v>34</v>
      </c>
      <c r="B33" s="17">
        <v>1.0</v>
      </c>
      <c r="C33" s="18"/>
      <c r="D33" s="19">
        <v>1.0</v>
      </c>
    </row>
    <row r="34" ht="15.0" customHeight="1">
      <c r="A34" s="16" t="s">
        <v>35</v>
      </c>
      <c r="B34" s="17">
        <v>1.0</v>
      </c>
      <c r="C34" s="18"/>
      <c r="D34" s="19">
        <v>1.0</v>
      </c>
    </row>
    <row r="35" ht="15.0" customHeight="1">
      <c r="A35" s="16" t="s">
        <v>36</v>
      </c>
      <c r="B35" s="17">
        <v>1.0</v>
      </c>
      <c r="C35" s="18"/>
      <c r="D35" s="19">
        <v>1.0</v>
      </c>
    </row>
    <row r="36" ht="19.5" customHeight="1">
      <c r="A36" s="10" t="s">
        <v>37</v>
      </c>
      <c r="B36" s="11">
        <f>B37+B43+B55+B61+B67+B72+B78</f>
        <v>55</v>
      </c>
      <c r="C36" s="10"/>
      <c r="D36" s="12">
        <f>D37+D43+D55+D61+D67+D72+D78</f>
        <v>55</v>
      </c>
    </row>
    <row r="37" ht="18.0" customHeight="1">
      <c r="A37" s="13" t="s">
        <v>38</v>
      </c>
      <c r="B37" s="14">
        <f>SUM(B38:B42)</f>
        <v>5</v>
      </c>
      <c r="C37" s="13"/>
      <c r="D37" s="15">
        <f>SUM(D38:D42)</f>
        <v>5</v>
      </c>
    </row>
    <row r="38" ht="15.0" customHeight="1">
      <c r="A38" s="16" t="s">
        <v>39</v>
      </c>
      <c r="B38" s="17">
        <v>1.0</v>
      </c>
      <c r="C38" s="18"/>
      <c r="D38" s="19">
        <v>1.0</v>
      </c>
    </row>
    <row r="39" ht="15.0" customHeight="1">
      <c r="A39" s="16" t="s">
        <v>40</v>
      </c>
      <c r="B39" s="17">
        <v>1.0</v>
      </c>
      <c r="C39" s="18"/>
      <c r="D39" s="19">
        <v>1.0</v>
      </c>
    </row>
    <row r="40" ht="15.0" customHeight="1">
      <c r="A40" s="16" t="s">
        <v>41</v>
      </c>
      <c r="B40" s="17">
        <v>1.0</v>
      </c>
      <c r="C40" s="18"/>
      <c r="D40" s="19">
        <v>1.0</v>
      </c>
    </row>
    <row r="41" ht="15.0" customHeight="1">
      <c r="A41" s="16" t="s">
        <v>42</v>
      </c>
      <c r="B41" s="17">
        <v>1.0</v>
      </c>
      <c r="C41" s="18"/>
      <c r="D41" s="19">
        <v>1.0</v>
      </c>
    </row>
    <row r="42" ht="15.0" customHeight="1">
      <c r="A42" s="16" t="s">
        <v>43</v>
      </c>
      <c r="B42" s="17">
        <v>1.0</v>
      </c>
      <c r="C42" s="18"/>
      <c r="D42" s="19">
        <v>1.0</v>
      </c>
    </row>
    <row r="43" ht="18.0" customHeight="1">
      <c r="A43" s="13" t="s">
        <v>44</v>
      </c>
      <c r="B43" s="14">
        <f>SUM(B44:B54)</f>
        <v>15</v>
      </c>
      <c r="C43" s="13"/>
      <c r="D43" s="15">
        <f>SUM(D44:D54)</f>
        <v>15</v>
      </c>
    </row>
    <row r="44" ht="15.0" customHeight="1">
      <c r="A44" s="16" t="s">
        <v>45</v>
      </c>
      <c r="B44" s="17">
        <v>2.0</v>
      </c>
      <c r="C44" s="18"/>
      <c r="D44" s="19">
        <v>2.0</v>
      </c>
    </row>
    <row r="45" ht="15.0" customHeight="1">
      <c r="A45" s="16" t="s">
        <v>46</v>
      </c>
      <c r="B45" s="17">
        <v>1.0</v>
      </c>
      <c r="C45" s="18"/>
      <c r="D45" s="19">
        <v>1.0</v>
      </c>
    </row>
    <row r="46" ht="15.0" customHeight="1">
      <c r="A46" s="16" t="s">
        <v>47</v>
      </c>
      <c r="B46" s="17">
        <v>1.0</v>
      </c>
      <c r="C46" s="18"/>
      <c r="D46" s="19">
        <v>1.0</v>
      </c>
    </row>
    <row r="47" ht="15.0" customHeight="1">
      <c r="A47" s="16" t="s">
        <v>48</v>
      </c>
      <c r="B47" s="17">
        <v>1.0</v>
      </c>
      <c r="C47" s="18"/>
      <c r="D47" s="19">
        <v>1.0</v>
      </c>
    </row>
    <row r="48" ht="15.0" customHeight="1">
      <c r="A48" s="16" t="s">
        <v>49</v>
      </c>
      <c r="B48" s="17">
        <v>2.0</v>
      </c>
      <c r="C48" s="18"/>
      <c r="D48" s="19">
        <v>2.0</v>
      </c>
    </row>
    <row r="49" ht="15.0" customHeight="1">
      <c r="A49" s="16" t="s">
        <v>50</v>
      </c>
      <c r="B49" s="17">
        <v>2.0</v>
      </c>
      <c r="C49" s="18"/>
      <c r="D49" s="19">
        <v>2.0</v>
      </c>
    </row>
    <row r="50" ht="15.0" customHeight="1">
      <c r="A50" s="16" t="s">
        <v>51</v>
      </c>
      <c r="B50" s="17">
        <v>1.0</v>
      </c>
      <c r="C50" s="18"/>
      <c r="D50" s="19">
        <v>1.0</v>
      </c>
    </row>
    <row r="51" ht="15.0" customHeight="1">
      <c r="A51" s="16" t="s">
        <v>52</v>
      </c>
      <c r="B51" s="17">
        <v>1.0</v>
      </c>
      <c r="C51" s="18"/>
      <c r="D51" s="19">
        <v>1.0</v>
      </c>
    </row>
    <row r="52" ht="15.0" customHeight="1">
      <c r="A52" s="16" t="s">
        <v>53</v>
      </c>
      <c r="B52" s="17">
        <v>2.0</v>
      </c>
      <c r="C52" s="18"/>
      <c r="D52" s="19">
        <v>2.0</v>
      </c>
    </row>
    <row r="53" ht="15.0" customHeight="1">
      <c r="A53" s="16" t="s">
        <v>54</v>
      </c>
      <c r="B53" s="17">
        <v>1.0</v>
      </c>
      <c r="C53" s="18"/>
      <c r="D53" s="19">
        <v>1.0</v>
      </c>
    </row>
    <row r="54" ht="15.0" customHeight="1">
      <c r="A54" s="16" t="s">
        <v>55</v>
      </c>
      <c r="B54" s="17">
        <v>1.0</v>
      </c>
      <c r="C54" s="18"/>
      <c r="D54" s="19">
        <v>1.0</v>
      </c>
    </row>
    <row r="55" ht="18.0" customHeight="1">
      <c r="A55" s="13" t="s">
        <v>56</v>
      </c>
      <c r="B55" s="14">
        <f>SUM(B56:B60)</f>
        <v>8</v>
      </c>
      <c r="C55" s="13"/>
      <c r="D55" s="15">
        <f>SUM(D56:D60)</f>
        <v>8</v>
      </c>
    </row>
    <row r="56" ht="15.0" customHeight="1">
      <c r="A56" s="16" t="s">
        <v>57</v>
      </c>
      <c r="B56" s="17">
        <v>1.0</v>
      </c>
      <c r="C56" s="18"/>
      <c r="D56" s="19">
        <v>1.0</v>
      </c>
    </row>
    <row r="57" ht="15.0" customHeight="1">
      <c r="A57" s="16" t="s">
        <v>58</v>
      </c>
      <c r="B57" s="17">
        <v>2.0</v>
      </c>
      <c r="C57" s="18"/>
      <c r="D57" s="19">
        <v>2.0</v>
      </c>
    </row>
    <row r="58" ht="15.0" customHeight="1">
      <c r="A58" s="16" t="s">
        <v>59</v>
      </c>
      <c r="B58" s="17">
        <v>2.0</v>
      </c>
      <c r="C58" s="18"/>
      <c r="D58" s="19">
        <v>2.0</v>
      </c>
    </row>
    <row r="59" ht="15.0" customHeight="1">
      <c r="A59" s="16" t="s">
        <v>60</v>
      </c>
      <c r="B59" s="17">
        <v>2.0</v>
      </c>
      <c r="C59" s="18"/>
      <c r="D59" s="19">
        <v>2.0</v>
      </c>
    </row>
    <row r="60" ht="15.0" customHeight="1">
      <c r="A60" s="16" t="s">
        <v>61</v>
      </c>
      <c r="B60" s="17">
        <v>1.0</v>
      </c>
      <c r="C60" s="18"/>
      <c r="D60" s="19">
        <v>1.0</v>
      </c>
    </row>
    <row r="61" ht="18.0" customHeight="1">
      <c r="A61" s="13" t="s">
        <v>62</v>
      </c>
      <c r="B61" s="14">
        <f>SUM(B62:B66)</f>
        <v>8</v>
      </c>
      <c r="C61" s="13"/>
      <c r="D61" s="15">
        <f>SUM(D62:D66)</f>
        <v>8</v>
      </c>
    </row>
    <row r="62" ht="15.0" customHeight="1">
      <c r="A62" s="16" t="s">
        <v>63</v>
      </c>
      <c r="B62" s="17">
        <v>2.0</v>
      </c>
      <c r="C62" s="18"/>
      <c r="D62" s="19">
        <v>2.0</v>
      </c>
    </row>
    <row r="63" ht="15.0" customHeight="1">
      <c r="A63" s="16" t="s">
        <v>64</v>
      </c>
      <c r="B63" s="17">
        <v>2.0</v>
      </c>
      <c r="C63" s="18"/>
      <c r="D63" s="19">
        <v>2.0</v>
      </c>
    </row>
    <row r="64" ht="15.0" customHeight="1">
      <c r="A64" s="16" t="s">
        <v>65</v>
      </c>
      <c r="B64" s="17">
        <v>1.0</v>
      </c>
      <c r="C64" s="18"/>
      <c r="D64" s="19">
        <v>1.0</v>
      </c>
    </row>
    <row r="65" ht="15.0" customHeight="1">
      <c r="A65" s="16" t="s">
        <v>66</v>
      </c>
      <c r="B65" s="17">
        <v>2.0</v>
      </c>
      <c r="C65" s="18"/>
      <c r="D65" s="19">
        <v>2.0</v>
      </c>
    </row>
    <row r="66" ht="15.0" customHeight="1">
      <c r="A66" s="16" t="s">
        <v>67</v>
      </c>
      <c r="B66" s="17">
        <v>1.0</v>
      </c>
      <c r="C66" s="18"/>
      <c r="D66" s="19">
        <v>1.0</v>
      </c>
    </row>
    <row r="67" ht="18.0" customHeight="1">
      <c r="A67" s="13" t="s">
        <v>68</v>
      </c>
      <c r="B67" s="14">
        <f>SUM(B68:B71)</f>
        <v>5</v>
      </c>
      <c r="C67" s="13"/>
      <c r="D67" s="15">
        <f>SUM(D68:D71)</f>
        <v>5</v>
      </c>
    </row>
    <row r="68" ht="15.0" customHeight="1">
      <c r="A68" s="16" t="s">
        <v>69</v>
      </c>
      <c r="B68" s="17">
        <v>1.0</v>
      </c>
      <c r="C68" s="18"/>
      <c r="D68" s="19">
        <v>1.0</v>
      </c>
    </row>
    <row r="69" ht="15.0" customHeight="1">
      <c r="A69" s="16" t="s">
        <v>70</v>
      </c>
      <c r="B69" s="17">
        <v>2.0</v>
      </c>
      <c r="C69" s="18"/>
      <c r="D69" s="19">
        <v>2.0</v>
      </c>
    </row>
    <row r="70" ht="15.0" customHeight="1">
      <c r="A70" s="16" t="s">
        <v>71</v>
      </c>
      <c r="B70" s="17">
        <v>1.0</v>
      </c>
      <c r="C70" s="18"/>
      <c r="D70" s="19">
        <v>1.0</v>
      </c>
    </row>
    <row r="71" ht="15.0" customHeight="1">
      <c r="A71" s="16" t="s">
        <v>72</v>
      </c>
      <c r="B71" s="17">
        <v>1.0</v>
      </c>
      <c r="C71" s="18"/>
      <c r="D71" s="19">
        <v>1.0</v>
      </c>
    </row>
    <row r="72" ht="18.0" customHeight="1">
      <c r="A72" s="13" t="s">
        <v>73</v>
      </c>
      <c r="B72" s="14">
        <f>SUM(B73:B77)</f>
        <v>8</v>
      </c>
      <c r="C72" s="13"/>
      <c r="D72" s="15">
        <f>SUM(D73:D77)</f>
        <v>8</v>
      </c>
    </row>
    <row r="73" ht="15.0" customHeight="1">
      <c r="A73" s="16" t="s">
        <v>74</v>
      </c>
      <c r="B73" s="17">
        <v>2.0</v>
      </c>
      <c r="C73" s="18"/>
      <c r="D73" s="19">
        <v>2.0</v>
      </c>
    </row>
    <row r="74" ht="15.0" customHeight="1">
      <c r="A74" s="16" t="s">
        <v>75</v>
      </c>
      <c r="B74" s="17">
        <v>2.0</v>
      </c>
      <c r="C74" s="18"/>
      <c r="D74" s="19">
        <v>2.0</v>
      </c>
    </row>
    <row r="75" ht="15.0" customHeight="1">
      <c r="A75" s="16" t="s">
        <v>76</v>
      </c>
      <c r="B75" s="17">
        <v>1.0</v>
      </c>
      <c r="C75" s="18"/>
      <c r="D75" s="19">
        <v>1.0</v>
      </c>
    </row>
    <row r="76" ht="15.0" customHeight="1">
      <c r="A76" s="16" t="s">
        <v>77</v>
      </c>
      <c r="B76" s="17">
        <v>2.0</v>
      </c>
      <c r="C76" s="18"/>
      <c r="D76" s="19">
        <v>2.0</v>
      </c>
    </row>
    <row r="77" ht="15.0" customHeight="1">
      <c r="A77" s="16" t="s">
        <v>78</v>
      </c>
      <c r="B77" s="17">
        <v>1.0</v>
      </c>
      <c r="C77" s="18"/>
      <c r="D77" s="19">
        <v>1.0</v>
      </c>
    </row>
    <row r="78" ht="18.0" customHeight="1">
      <c r="A78" s="13" t="s">
        <v>79</v>
      </c>
      <c r="B78" s="14">
        <f>SUM(B79:B82)</f>
        <v>6</v>
      </c>
      <c r="C78" s="13"/>
      <c r="D78" s="15">
        <f>SUM(D79:D82)</f>
        <v>6</v>
      </c>
    </row>
    <row r="79" ht="15.0" customHeight="1">
      <c r="A79" s="16" t="s">
        <v>80</v>
      </c>
      <c r="B79" s="17">
        <v>2.0</v>
      </c>
      <c r="C79" s="18"/>
      <c r="D79" s="19">
        <v>2.0</v>
      </c>
    </row>
    <row r="80" ht="15.0" customHeight="1">
      <c r="A80" s="16" t="s">
        <v>81</v>
      </c>
      <c r="B80" s="17">
        <v>1.0</v>
      </c>
      <c r="C80" s="18"/>
      <c r="D80" s="19">
        <v>1.0</v>
      </c>
    </row>
    <row r="81" ht="15.0" customHeight="1">
      <c r="A81" s="16" t="s">
        <v>82</v>
      </c>
      <c r="B81" s="17">
        <v>2.0</v>
      </c>
      <c r="C81" s="18"/>
      <c r="D81" s="19">
        <v>2.0</v>
      </c>
    </row>
    <row r="82" ht="15.0" customHeight="1">
      <c r="A82" s="16" t="s">
        <v>83</v>
      </c>
      <c r="B82" s="17">
        <v>1.0</v>
      </c>
      <c r="C82" s="18"/>
      <c r="D82" s="19">
        <v>1.0</v>
      </c>
    </row>
    <row r="83" ht="19.5" customHeight="1">
      <c r="A83" s="10" t="s">
        <v>84</v>
      </c>
      <c r="B83" s="11">
        <f>B84+B87</f>
        <v>20</v>
      </c>
      <c r="C83" s="10"/>
      <c r="D83" s="12">
        <f>D84+D87</f>
        <v>10</v>
      </c>
    </row>
    <row r="84" ht="18.0" customHeight="1">
      <c r="A84" s="13" t="s">
        <v>85</v>
      </c>
      <c r="B84" s="14">
        <f>SUM(B85:B86)</f>
        <v>5</v>
      </c>
      <c r="C84" s="13"/>
      <c r="D84" s="15">
        <f>SUM(D85:D86)</f>
        <v>2.5</v>
      </c>
    </row>
    <row r="85" ht="15.0" customHeight="1">
      <c r="A85" s="16" t="s">
        <v>86</v>
      </c>
      <c r="B85" s="17">
        <v>2.5</v>
      </c>
      <c r="C85" s="18"/>
      <c r="D85" s="19">
        <v>0.0</v>
      </c>
    </row>
    <row r="86" ht="15.0" customHeight="1">
      <c r="A86" s="16" t="s">
        <v>87</v>
      </c>
      <c r="B86" s="17">
        <v>2.5</v>
      </c>
      <c r="C86" s="18"/>
      <c r="D86" s="19">
        <v>2.5</v>
      </c>
    </row>
    <row r="87" ht="18.0" customHeight="1">
      <c r="A87" s="13" t="s">
        <v>88</v>
      </c>
      <c r="B87" s="14">
        <f>SUM(B88:B90)</f>
        <v>15</v>
      </c>
      <c r="C87" s="13"/>
      <c r="D87" s="15">
        <f>SUM(D88:D90)</f>
        <v>7.5</v>
      </c>
    </row>
    <row r="88" ht="15.0" customHeight="1">
      <c r="A88" s="16" t="s">
        <v>89</v>
      </c>
      <c r="B88" s="17">
        <v>5.0</v>
      </c>
      <c r="C88" s="18"/>
      <c r="D88" s="19">
        <v>2.5</v>
      </c>
    </row>
    <row r="89" ht="15.0" customHeight="1">
      <c r="A89" s="16" t="s">
        <v>90</v>
      </c>
      <c r="B89" s="17">
        <v>5.0</v>
      </c>
      <c r="C89" s="18"/>
      <c r="D89" s="19">
        <v>2.5</v>
      </c>
    </row>
    <row r="90" ht="15.0" customHeight="1">
      <c r="A90" s="16" t="s">
        <v>91</v>
      </c>
      <c r="B90" s="17">
        <v>5.0</v>
      </c>
      <c r="C90" s="18"/>
      <c r="D90" s="19">
        <v>2.5</v>
      </c>
    </row>
    <row r="91" ht="19.5" customHeight="1">
      <c r="A91" s="21" t="s">
        <v>92</v>
      </c>
      <c r="B91" s="22">
        <f>B19+B36+B83</f>
        <v>100</v>
      </c>
      <c r="C91" s="23"/>
      <c r="D91" s="24">
        <f>D19+D36+D83</f>
        <v>90</v>
      </c>
    </row>
    <row r="92" ht="15.75" customHeight="1">
      <c r="A92" s="2"/>
      <c r="B92" s="2"/>
      <c r="C92" s="2"/>
      <c r="D92" s="2"/>
    </row>
    <row r="93" ht="15.75" customHeight="1">
      <c r="A93" s="1" t="s">
        <v>93</v>
      </c>
      <c r="B93" s="2"/>
      <c r="C93" s="2"/>
      <c r="D93" s="2"/>
    </row>
    <row r="94" ht="15.75" customHeight="1">
      <c r="A94" s="9" t="s">
        <v>94</v>
      </c>
      <c r="B94" s="9" t="s">
        <v>95</v>
      </c>
      <c r="C94" s="9" t="s">
        <v>18</v>
      </c>
      <c r="D94" s="9"/>
    </row>
    <row r="95" ht="15.75" customHeight="1">
      <c r="A95" s="16" t="s">
        <v>96</v>
      </c>
      <c r="B95" s="25" t="s">
        <v>97</v>
      </c>
      <c r="C95" s="26"/>
      <c r="D95" s="27"/>
    </row>
    <row r="96" ht="15.75" customHeight="1">
      <c r="A96" s="16" t="s">
        <v>98</v>
      </c>
      <c r="B96" s="25" t="s">
        <v>97</v>
      </c>
      <c r="C96" s="26"/>
      <c r="D96" s="27"/>
    </row>
    <row r="97" ht="15.75" customHeight="1">
      <c r="A97" s="16" t="s">
        <v>99</v>
      </c>
      <c r="B97" s="25" t="s">
        <v>97</v>
      </c>
      <c r="C97" s="26"/>
      <c r="D97" s="27"/>
    </row>
    <row r="98" ht="15.75" customHeight="1">
      <c r="A98" s="16" t="s">
        <v>100</v>
      </c>
      <c r="B98" s="25" t="s">
        <v>97</v>
      </c>
      <c r="C98" s="26"/>
      <c r="D98" s="27"/>
    </row>
    <row r="99" ht="15.75" customHeight="1">
      <c r="A99" s="16" t="s">
        <v>101</v>
      </c>
      <c r="B99" s="25" t="s">
        <v>97</v>
      </c>
      <c r="C99" s="26"/>
      <c r="D99" s="27"/>
    </row>
    <row r="100" ht="15.75" customHeight="1">
      <c r="A100" s="16" t="s">
        <v>102</v>
      </c>
      <c r="B100" s="25" t="s">
        <v>97</v>
      </c>
      <c r="C100" s="26"/>
      <c r="D100" s="27"/>
    </row>
    <row r="101" ht="15.75" customHeight="1">
      <c r="A101" s="2"/>
      <c r="B101" s="2"/>
      <c r="C101" s="2"/>
      <c r="D101" s="2"/>
    </row>
    <row r="102" ht="15.75" customHeight="1">
      <c r="A102" s="1" t="s">
        <v>103</v>
      </c>
      <c r="B102" s="2"/>
      <c r="C102" s="2"/>
      <c r="D102" s="2"/>
    </row>
    <row r="103" ht="15.75" customHeight="1">
      <c r="A103" s="9" t="s">
        <v>104</v>
      </c>
      <c r="B103" s="9" t="s">
        <v>105</v>
      </c>
      <c r="C103" s="9" t="s">
        <v>106</v>
      </c>
      <c r="D103" s="9" t="s">
        <v>107</v>
      </c>
    </row>
    <row r="104" ht="15.75" customHeight="1">
      <c r="A104" s="16" t="s">
        <v>108</v>
      </c>
      <c r="B104" s="28">
        <v>-0.3</v>
      </c>
      <c r="C104" s="25" t="s">
        <v>109</v>
      </c>
      <c r="D104" s="29">
        <f t="shared" ref="D104:D118" si="1">IF(C104="Sí",$D$91*B104,0)</f>
        <v>0</v>
      </c>
    </row>
    <row r="105" ht="15.75" customHeight="1">
      <c r="A105" s="16" t="s">
        <v>110</v>
      </c>
      <c r="B105" s="28">
        <v>-0.2</v>
      </c>
      <c r="C105" s="25" t="s">
        <v>109</v>
      </c>
      <c r="D105" s="29">
        <f t="shared" si="1"/>
        <v>0</v>
      </c>
    </row>
    <row r="106" ht="15.75" customHeight="1">
      <c r="A106" s="16" t="s">
        <v>111</v>
      </c>
      <c r="B106" s="28">
        <v>-1.0</v>
      </c>
      <c r="C106" s="25" t="s">
        <v>109</v>
      </c>
      <c r="D106" s="29">
        <f t="shared" si="1"/>
        <v>0</v>
      </c>
    </row>
    <row r="107" ht="15.75" customHeight="1">
      <c r="A107" s="16" t="s">
        <v>112</v>
      </c>
      <c r="B107" s="28">
        <v>-1.0</v>
      </c>
      <c r="C107" s="25" t="s">
        <v>109</v>
      </c>
      <c r="D107" s="29">
        <f t="shared" si="1"/>
        <v>0</v>
      </c>
    </row>
    <row r="108" ht="15.75" customHeight="1">
      <c r="A108" s="16" t="s">
        <v>113</v>
      </c>
      <c r="B108" s="28">
        <v>-0.75</v>
      </c>
      <c r="C108" s="25" t="s">
        <v>109</v>
      </c>
      <c r="D108" s="29">
        <f t="shared" si="1"/>
        <v>0</v>
      </c>
    </row>
    <row r="109" ht="15.75" customHeight="1">
      <c r="A109" s="16" t="s">
        <v>114</v>
      </c>
      <c r="B109" s="28">
        <v>-0.75</v>
      </c>
      <c r="C109" s="25" t="s">
        <v>109</v>
      </c>
      <c r="D109" s="29">
        <f t="shared" si="1"/>
        <v>0</v>
      </c>
    </row>
    <row r="110" ht="15.75" customHeight="1">
      <c r="A110" s="16" t="s">
        <v>115</v>
      </c>
      <c r="B110" s="28">
        <v>-0.9</v>
      </c>
      <c r="C110" s="25" t="s">
        <v>109</v>
      </c>
      <c r="D110" s="29">
        <f t="shared" si="1"/>
        <v>0</v>
      </c>
    </row>
    <row r="111" ht="15.75" customHeight="1">
      <c r="A111" s="16" t="s">
        <v>116</v>
      </c>
      <c r="B111" s="28">
        <v>-0.5</v>
      </c>
      <c r="C111" s="25" t="s">
        <v>109</v>
      </c>
      <c r="D111" s="29">
        <f t="shared" si="1"/>
        <v>0</v>
      </c>
    </row>
    <row r="112" ht="15.75" customHeight="1">
      <c r="A112" s="16" t="s">
        <v>117</v>
      </c>
      <c r="B112" s="28">
        <v>-0.5</v>
      </c>
      <c r="C112" s="25" t="s">
        <v>109</v>
      </c>
      <c r="D112" s="29">
        <f t="shared" si="1"/>
        <v>0</v>
      </c>
    </row>
    <row r="113" ht="15.75" customHeight="1">
      <c r="A113" s="16" t="s">
        <v>118</v>
      </c>
      <c r="B113" s="28">
        <v>-1.0</v>
      </c>
      <c r="C113" s="25" t="s">
        <v>109</v>
      </c>
      <c r="D113" s="29">
        <f t="shared" si="1"/>
        <v>0</v>
      </c>
    </row>
    <row r="114" ht="15.75" customHeight="1">
      <c r="A114" s="16" t="s">
        <v>119</v>
      </c>
      <c r="B114" s="28">
        <v>-0.25</v>
      </c>
      <c r="C114" s="25" t="s">
        <v>109</v>
      </c>
      <c r="D114" s="29">
        <f t="shared" si="1"/>
        <v>0</v>
      </c>
    </row>
    <row r="115" ht="15.75" customHeight="1">
      <c r="A115" s="16" t="s">
        <v>120</v>
      </c>
      <c r="B115" s="28">
        <v>-1.0</v>
      </c>
      <c r="C115" s="25" t="s">
        <v>109</v>
      </c>
      <c r="D115" s="29">
        <f t="shared" si="1"/>
        <v>0</v>
      </c>
    </row>
    <row r="116" ht="15.75" customHeight="1">
      <c r="A116" s="16" t="s">
        <v>121</v>
      </c>
      <c r="B116" s="28">
        <v>-1.0</v>
      </c>
      <c r="C116" s="25" t="s">
        <v>109</v>
      </c>
      <c r="D116" s="29">
        <f t="shared" si="1"/>
        <v>0</v>
      </c>
    </row>
    <row r="117" ht="15.75" customHeight="1">
      <c r="A117" s="16" t="s">
        <v>122</v>
      </c>
      <c r="B117" s="28">
        <v>-0.5</v>
      </c>
      <c r="C117" s="25" t="s">
        <v>109</v>
      </c>
      <c r="D117" s="29">
        <f t="shared" si="1"/>
        <v>0</v>
      </c>
    </row>
    <row r="118" ht="15.75" customHeight="1">
      <c r="A118" s="16" t="s">
        <v>123</v>
      </c>
      <c r="B118" s="28">
        <v>-1.0</v>
      </c>
      <c r="C118" s="25" t="s">
        <v>109</v>
      </c>
      <c r="D118" s="29">
        <f t="shared" si="1"/>
        <v>0</v>
      </c>
    </row>
    <row r="119" ht="15.75" customHeight="1">
      <c r="A119" s="21" t="s">
        <v>124</v>
      </c>
      <c r="B119" s="23"/>
      <c r="C119" s="23"/>
      <c r="D119" s="24">
        <f>SUM(D104:D118)</f>
        <v>0</v>
      </c>
    </row>
    <row r="120" ht="15.75" customHeight="1">
      <c r="A120" s="2"/>
      <c r="B120" s="2"/>
      <c r="C120" s="2"/>
      <c r="D120" s="2"/>
    </row>
    <row r="121" ht="21.75" customHeight="1">
      <c r="A121" s="31" t="s">
        <v>125</v>
      </c>
      <c r="B121" s="32"/>
      <c r="C121" s="32"/>
      <c r="D121" s="33">
        <f>MAX(0,ROUND($D$91+$D$119,2))</f>
        <v>90</v>
      </c>
    </row>
    <row r="122" ht="15.75" customHeight="1">
      <c r="A122" s="2"/>
      <c r="B122" s="2"/>
      <c r="C122" s="2"/>
      <c r="D122" s="2"/>
    </row>
    <row r="123" ht="15.75" customHeight="1">
      <c r="A123" s="4" t="s">
        <v>126</v>
      </c>
      <c r="B123" s="2"/>
      <c r="C123" s="2"/>
      <c r="D123" s="2"/>
    </row>
    <row r="124" ht="18.0" customHeight="1">
      <c r="A124" s="34"/>
      <c r="B124" s="35"/>
      <c r="C124" s="35"/>
      <c r="D124" s="36"/>
    </row>
    <row r="125" ht="18.0" customHeight="1">
      <c r="A125" s="34"/>
      <c r="B125" s="35"/>
      <c r="C125" s="35"/>
      <c r="D125" s="36"/>
    </row>
    <row r="126" ht="18.0" customHeight="1">
      <c r="A126" s="34"/>
      <c r="B126" s="35"/>
      <c r="C126" s="35"/>
      <c r="D126" s="36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37" t="s">
        <v>127</v>
      </c>
      <c r="B129" s="2"/>
      <c r="C129" s="37" t="s">
        <v>127</v>
      </c>
      <c r="D129" s="2"/>
    </row>
    <row r="130" ht="15.75" customHeight="1">
      <c r="A130" s="37" t="s">
        <v>128</v>
      </c>
      <c r="B130" s="2"/>
      <c r="C130" s="37" t="s">
        <v>129</v>
      </c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mergeCells count="6">
    <mergeCell ref="A14:D14"/>
    <mergeCell ref="A15:D15"/>
    <mergeCell ref="A16:D16"/>
    <mergeCell ref="A124:D124"/>
    <mergeCell ref="A125:D125"/>
    <mergeCell ref="A126:D126"/>
  </mergeCells>
  <conditionalFormatting sqref="D19:D90">
    <cfRule type="cellIs" dxfId="0" priority="1" operator="greaterThan">
      <formula>B19</formula>
    </cfRule>
  </conditionalFormatting>
  <dataValidations>
    <dataValidation type="list" allowBlank="1" sqref="B95:B100 C104:C118">
      <formula1>"Sí,No"</formula1>
    </dataValidation>
  </dataValidations>
  <printOptions horizontalCentered="1"/>
  <pageMargins bottom="1.0" footer="0.0" header="0.0" left="0.75" right="0.75" top="1.0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8.0" topLeftCell="A19" activePane="bottomLeft" state="frozen"/>
      <selection activeCell="B20" sqref="B20" pane="bottomLeft"/>
    </sheetView>
  </sheetViews>
  <sheetFormatPr customHeight="1" defaultColWidth="14.43" defaultRowHeight="15.0"/>
  <cols>
    <col customWidth="1" min="1" max="1" width="78.0"/>
    <col customWidth="1" min="2" max="2" width="11.0"/>
    <col customWidth="1" min="3" max="3" width="34.0"/>
    <col customWidth="1" min="4" max="4" width="11.0"/>
    <col customWidth="1" min="5" max="26" width="8.71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3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2"/>
      <c r="B7" s="2"/>
      <c r="C7" s="2"/>
      <c r="D7" s="2"/>
    </row>
    <row r="8">
      <c r="A8" s="3" t="s">
        <v>6</v>
      </c>
      <c r="B8" s="2"/>
      <c r="C8" s="2"/>
      <c r="D8" s="2"/>
    </row>
    <row r="9">
      <c r="A9" s="2"/>
      <c r="B9" s="2"/>
      <c r="C9" s="2"/>
      <c r="D9" s="2"/>
    </row>
    <row r="10">
      <c r="A10" s="4" t="s">
        <v>7</v>
      </c>
      <c r="B10" s="5"/>
      <c r="C10" s="2"/>
      <c r="D10" s="2"/>
    </row>
    <row r="11">
      <c r="A11" s="4" t="s">
        <v>8</v>
      </c>
      <c r="B11" s="6" t="s">
        <v>138</v>
      </c>
      <c r="C11" s="2"/>
      <c r="D11" s="2"/>
    </row>
    <row r="12">
      <c r="A12" s="4" t="s">
        <v>10</v>
      </c>
      <c r="B12" s="6">
        <v>2.02398528E8</v>
      </c>
      <c r="C12" s="2"/>
      <c r="D12" s="2"/>
    </row>
    <row r="13">
      <c r="A13" s="2"/>
      <c r="B13" s="2"/>
      <c r="C13" s="2"/>
      <c r="D13" s="2"/>
    </row>
    <row r="14" ht="25.5" customHeight="1">
      <c r="A14" s="8" t="s">
        <v>12</v>
      </c>
    </row>
    <row r="15" ht="25.5" customHeight="1">
      <c r="A15" s="8" t="s">
        <v>14</v>
      </c>
    </row>
    <row r="16" ht="25.5" customHeight="1">
      <c r="A16" s="8" t="s">
        <v>15</v>
      </c>
    </row>
    <row r="17">
      <c r="A17" s="2"/>
      <c r="B17" s="2"/>
      <c r="C17" s="2"/>
      <c r="D17" s="2"/>
    </row>
    <row r="18" ht="19.5" customHeight="1">
      <c r="A18" s="9" t="s">
        <v>16</v>
      </c>
      <c r="B18" s="9" t="s">
        <v>17</v>
      </c>
      <c r="C18" s="9" t="s">
        <v>18</v>
      </c>
      <c r="D18" s="9" t="s">
        <v>19</v>
      </c>
    </row>
    <row r="19" ht="19.5" customHeight="1">
      <c r="A19" s="10" t="s">
        <v>20</v>
      </c>
      <c r="B19" s="11">
        <f>B20+B25+B30</f>
        <v>25</v>
      </c>
      <c r="C19" s="10"/>
      <c r="D19" s="12">
        <f>D20+D25+D30</f>
        <v>25</v>
      </c>
    </row>
    <row r="20" ht="18.0" customHeight="1">
      <c r="A20" s="13" t="s">
        <v>21</v>
      </c>
      <c r="B20" s="14">
        <f>SUM(B21:B24)</f>
        <v>10</v>
      </c>
      <c r="C20" s="13"/>
      <c r="D20" s="15">
        <f>SUM(D21:D24)</f>
        <v>10</v>
      </c>
    </row>
    <row r="21" ht="15.0" customHeight="1">
      <c r="A21" s="16" t="s">
        <v>22</v>
      </c>
      <c r="B21" s="17">
        <v>3.0</v>
      </c>
      <c r="C21" s="18"/>
      <c r="D21" s="19">
        <v>3.0</v>
      </c>
    </row>
    <row r="22" ht="15.0" customHeight="1">
      <c r="A22" s="16" t="s">
        <v>23</v>
      </c>
      <c r="B22" s="17">
        <v>3.0</v>
      </c>
      <c r="C22" s="18"/>
      <c r="D22" s="19">
        <v>3.0</v>
      </c>
    </row>
    <row r="23" ht="15.0" customHeight="1">
      <c r="A23" s="16" t="s">
        <v>24</v>
      </c>
      <c r="B23" s="17">
        <v>2.0</v>
      </c>
      <c r="C23" s="18"/>
      <c r="D23" s="19">
        <v>2.0</v>
      </c>
    </row>
    <row r="24" ht="15.0" customHeight="1">
      <c r="A24" s="16" t="s">
        <v>25</v>
      </c>
      <c r="B24" s="17">
        <v>2.0</v>
      </c>
      <c r="C24" s="18"/>
      <c r="D24" s="19">
        <v>2.0</v>
      </c>
    </row>
    <row r="25" ht="18.0" customHeight="1">
      <c r="A25" s="13" t="s">
        <v>26</v>
      </c>
      <c r="B25" s="14">
        <f>SUM(B26:B29)</f>
        <v>10</v>
      </c>
      <c r="C25" s="13"/>
      <c r="D25" s="15">
        <f>SUM(D26:D29)</f>
        <v>10</v>
      </c>
    </row>
    <row r="26" ht="15.0" customHeight="1">
      <c r="A26" s="16" t="s">
        <v>27</v>
      </c>
      <c r="B26" s="17">
        <v>4.0</v>
      </c>
      <c r="C26" s="18"/>
      <c r="D26" s="19">
        <v>4.0</v>
      </c>
    </row>
    <row r="27" ht="15.0" customHeight="1">
      <c r="A27" s="16" t="s">
        <v>28</v>
      </c>
      <c r="B27" s="17">
        <v>2.0</v>
      </c>
      <c r="C27" s="18"/>
      <c r="D27" s="19">
        <v>2.0</v>
      </c>
    </row>
    <row r="28" ht="15.0" customHeight="1">
      <c r="A28" s="16" t="s">
        <v>29</v>
      </c>
      <c r="B28" s="17">
        <v>3.0</v>
      </c>
      <c r="C28" s="18"/>
      <c r="D28" s="19">
        <v>3.0</v>
      </c>
    </row>
    <row r="29" ht="15.0" customHeight="1">
      <c r="A29" s="16" t="s">
        <v>30</v>
      </c>
      <c r="B29" s="17">
        <v>1.0</v>
      </c>
      <c r="C29" s="18"/>
      <c r="D29" s="19">
        <v>1.0</v>
      </c>
    </row>
    <row r="30" ht="18.0" customHeight="1">
      <c r="A30" s="13" t="s">
        <v>31</v>
      </c>
      <c r="B30" s="14">
        <f>SUM(B31:B35)</f>
        <v>5</v>
      </c>
      <c r="C30" s="13"/>
      <c r="D30" s="15">
        <f>SUM(D31:D35)</f>
        <v>5</v>
      </c>
    </row>
    <row r="31" ht="15.0" customHeight="1">
      <c r="A31" s="16" t="s">
        <v>32</v>
      </c>
      <c r="B31" s="17">
        <v>1.0</v>
      </c>
      <c r="C31" s="18"/>
      <c r="D31" s="19">
        <v>1.0</v>
      </c>
    </row>
    <row r="32" ht="15.0" customHeight="1">
      <c r="A32" s="16" t="s">
        <v>33</v>
      </c>
      <c r="B32" s="17">
        <v>1.0</v>
      </c>
      <c r="C32" s="18"/>
      <c r="D32" s="19">
        <v>1.0</v>
      </c>
    </row>
    <row r="33" ht="15.0" customHeight="1">
      <c r="A33" s="16" t="s">
        <v>34</v>
      </c>
      <c r="B33" s="17">
        <v>1.0</v>
      </c>
      <c r="C33" s="18"/>
      <c r="D33" s="19">
        <v>1.0</v>
      </c>
    </row>
    <row r="34" ht="15.0" customHeight="1">
      <c r="A34" s="16" t="s">
        <v>35</v>
      </c>
      <c r="B34" s="17">
        <v>1.0</v>
      </c>
      <c r="C34" s="18"/>
      <c r="D34" s="19">
        <v>1.0</v>
      </c>
    </row>
    <row r="35" ht="15.0" customHeight="1">
      <c r="A35" s="16" t="s">
        <v>36</v>
      </c>
      <c r="B35" s="17">
        <v>1.0</v>
      </c>
      <c r="C35" s="18"/>
      <c r="D35" s="19">
        <v>1.0</v>
      </c>
    </row>
    <row r="36" ht="19.5" customHeight="1">
      <c r="A36" s="10" t="s">
        <v>37</v>
      </c>
      <c r="B36" s="11">
        <f>B37+B43+B55+B61+B67+B72+B78</f>
        <v>55</v>
      </c>
      <c r="C36" s="10"/>
      <c r="D36" s="12">
        <f>D37+D43+D55+D61+D67+D72+D78</f>
        <v>55</v>
      </c>
    </row>
    <row r="37" ht="18.0" customHeight="1">
      <c r="A37" s="13" t="s">
        <v>38</v>
      </c>
      <c r="B37" s="14">
        <f>SUM(B38:B42)</f>
        <v>5</v>
      </c>
      <c r="C37" s="13"/>
      <c r="D37" s="15">
        <f>SUM(D38:D42)</f>
        <v>5</v>
      </c>
    </row>
    <row r="38" ht="15.0" customHeight="1">
      <c r="A38" s="16" t="s">
        <v>39</v>
      </c>
      <c r="B38" s="17">
        <v>1.0</v>
      </c>
      <c r="C38" s="18"/>
      <c r="D38" s="19">
        <v>1.0</v>
      </c>
    </row>
    <row r="39" ht="15.0" customHeight="1">
      <c r="A39" s="16" t="s">
        <v>40</v>
      </c>
      <c r="B39" s="17">
        <v>1.0</v>
      </c>
      <c r="C39" s="18"/>
      <c r="D39" s="19">
        <v>1.0</v>
      </c>
    </row>
    <row r="40" ht="15.0" customHeight="1">
      <c r="A40" s="16" t="s">
        <v>41</v>
      </c>
      <c r="B40" s="17">
        <v>1.0</v>
      </c>
      <c r="C40" s="18"/>
      <c r="D40" s="19">
        <v>1.0</v>
      </c>
    </row>
    <row r="41" ht="15.0" customHeight="1">
      <c r="A41" s="16" t="s">
        <v>42</v>
      </c>
      <c r="B41" s="17">
        <v>1.0</v>
      </c>
      <c r="C41" s="18"/>
      <c r="D41" s="19">
        <v>1.0</v>
      </c>
    </row>
    <row r="42" ht="15.0" customHeight="1">
      <c r="A42" s="16" t="s">
        <v>43</v>
      </c>
      <c r="B42" s="17">
        <v>1.0</v>
      </c>
      <c r="C42" s="18"/>
      <c r="D42" s="19">
        <v>1.0</v>
      </c>
    </row>
    <row r="43" ht="18.0" customHeight="1">
      <c r="A43" s="13" t="s">
        <v>44</v>
      </c>
      <c r="B43" s="14">
        <f>SUM(B44:B54)</f>
        <v>15</v>
      </c>
      <c r="C43" s="13"/>
      <c r="D43" s="15">
        <f>SUM(D44:D54)</f>
        <v>15</v>
      </c>
    </row>
    <row r="44" ht="15.0" customHeight="1">
      <c r="A44" s="16" t="s">
        <v>45</v>
      </c>
      <c r="B44" s="17">
        <v>2.0</v>
      </c>
      <c r="C44" s="18"/>
      <c r="D44" s="19">
        <v>2.0</v>
      </c>
    </row>
    <row r="45" ht="15.0" customHeight="1">
      <c r="A45" s="16" t="s">
        <v>46</v>
      </c>
      <c r="B45" s="17">
        <v>1.0</v>
      </c>
      <c r="C45" s="18"/>
      <c r="D45" s="19">
        <v>1.0</v>
      </c>
    </row>
    <row r="46" ht="15.0" customHeight="1">
      <c r="A46" s="16" t="s">
        <v>47</v>
      </c>
      <c r="B46" s="17">
        <v>1.0</v>
      </c>
      <c r="C46" s="18"/>
      <c r="D46" s="19">
        <v>1.0</v>
      </c>
    </row>
    <row r="47" ht="15.0" customHeight="1">
      <c r="A47" s="16" t="s">
        <v>48</v>
      </c>
      <c r="B47" s="17">
        <v>1.0</v>
      </c>
      <c r="C47" s="18"/>
      <c r="D47" s="19">
        <v>1.0</v>
      </c>
    </row>
    <row r="48" ht="15.0" customHeight="1">
      <c r="A48" s="16" t="s">
        <v>49</v>
      </c>
      <c r="B48" s="17">
        <v>2.0</v>
      </c>
      <c r="C48" s="18"/>
      <c r="D48" s="19">
        <v>2.0</v>
      </c>
    </row>
    <row r="49" ht="15.0" customHeight="1">
      <c r="A49" s="16" t="s">
        <v>50</v>
      </c>
      <c r="B49" s="17">
        <v>2.0</v>
      </c>
      <c r="C49" s="18"/>
      <c r="D49" s="19">
        <v>2.0</v>
      </c>
    </row>
    <row r="50" ht="15.0" customHeight="1">
      <c r="A50" s="16" t="s">
        <v>51</v>
      </c>
      <c r="B50" s="17">
        <v>1.0</v>
      </c>
      <c r="C50" s="18"/>
      <c r="D50" s="19">
        <v>1.0</v>
      </c>
    </row>
    <row r="51" ht="15.0" customHeight="1">
      <c r="A51" s="16" t="s">
        <v>52</v>
      </c>
      <c r="B51" s="17">
        <v>1.0</v>
      </c>
      <c r="C51" s="18"/>
      <c r="D51" s="19">
        <v>1.0</v>
      </c>
    </row>
    <row r="52" ht="15.0" customHeight="1">
      <c r="A52" s="16" t="s">
        <v>53</v>
      </c>
      <c r="B52" s="17">
        <v>2.0</v>
      </c>
      <c r="C52" s="18"/>
      <c r="D52" s="19">
        <v>2.0</v>
      </c>
    </row>
    <row r="53" ht="15.0" customHeight="1">
      <c r="A53" s="16" t="s">
        <v>54</v>
      </c>
      <c r="B53" s="17">
        <v>1.0</v>
      </c>
      <c r="C53" s="18"/>
      <c r="D53" s="19">
        <v>1.0</v>
      </c>
    </row>
    <row r="54" ht="15.0" customHeight="1">
      <c r="A54" s="16" t="s">
        <v>55</v>
      </c>
      <c r="B54" s="17">
        <v>1.0</v>
      </c>
      <c r="C54" s="18"/>
      <c r="D54" s="19">
        <v>1.0</v>
      </c>
    </row>
    <row r="55" ht="18.0" customHeight="1">
      <c r="A55" s="13" t="s">
        <v>56</v>
      </c>
      <c r="B55" s="14">
        <f>SUM(B56:B60)</f>
        <v>8</v>
      </c>
      <c r="C55" s="13"/>
      <c r="D55" s="15">
        <f>SUM(D56:D60)</f>
        <v>8</v>
      </c>
    </row>
    <row r="56" ht="15.0" customHeight="1">
      <c r="A56" s="16" t="s">
        <v>57</v>
      </c>
      <c r="B56" s="17">
        <v>1.0</v>
      </c>
      <c r="C56" s="18"/>
      <c r="D56" s="19">
        <v>1.0</v>
      </c>
    </row>
    <row r="57" ht="15.0" customHeight="1">
      <c r="A57" s="16" t="s">
        <v>58</v>
      </c>
      <c r="B57" s="17">
        <v>2.0</v>
      </c>
      <c r="C57" s="18"/>
      <c r="D57" s="19">
        <v>2.0</v>
      </c>
    </row>
    <row r="58" ht="15.0" customHeight="1">
      <c r="A58" s="16" t="s">
        <v>59</v>
      </c>
      <c r="B58" s="17">
        <v>2.0</v>
      </c>
      <c r="C58" s="18"/>
      <c r="D58" s="19">
        <v>2.0</v>
      </c>
    </row>
    <row r="59" ht="15.0" customHeight="1">
      <c r="A59" s="16" t="s">
        <v>60</v>
      </c>
      <c r="B59" s="17">
        <v>2.0</v>
      </c>
      <c r="C59" s="18"/>
      <c r="D59" s="19">
        <v>2.0</v>
      </c>
    </row>
    <row r="60" ht="15.0" customHeight="1">
      <c r="A60" s="16" t="s">
        <v>61</v>
      </c>
      <c r="B60" s="17">
        <v>1.0</v>
      </c>
      <c r="C60" s="18"/>
      <c r="D60" s="19">
        <v>1.0</v>
      </c>
    </row>
    <row r="61" ht="18.0" customHeight="1">
      <c r="A61" s="13" t="s">
        <v>62</v>
      </c>
      <c r="B61" s="14">
        <f>SUM(B62:B66)</f>
        <v>8</v>
      </c>
      <c r="C61" s="13"/>
      <c r="D61" s="15">
        <f>SUM(D62:D66)</f>
        <v>8</v>
      </c>
    </row>
    <row r="62" ht="15.0" customHeight="1">
      <c r="A62" s="16" t="s">
        <v>63</v>
      </c>
      <c r="B62" s="17">
        <v>2.0</v>
      </c>
      <c r="C62" s="18"/>
      <c r="D62" s="19">
        <v>2.0</v>
      </c>
    </row>
    <row r="63" ht="15.0" customHeight="1">
      <c r="A63" s="16" t="s">
        <v>64</v>
      </c>
      <c r="B63" s="17">
        <v>2.0</v>
      </c>
      <c r="C63" s="18"/>
      <c r="D63" s="19">
        <v>2.0</v>
      </c>
    </row>
    <row r="64" ht="15.0" customHeight="1">
      <c r="A64" s="16" t="s">
        <v>65</v>
      </c>
      <c r="B64" s="17">
        <v>1.0</v>
      </c>
      <c r="C64" s="18"/>
      <c r="D64" s="19">
        <v>1.0</v>
      </c>
    </row>
    <row r="65" ht="15.0" customHeight="1">
      <c r="A65" s="16" t="s">
        <v>66</v>
      </c>
      <c r="B65" s="17">
        <v>2.0</v>
      </c>
      <c r="C65" s="18"/>
      <c r="D65" s="19">
        <v>2.0</v>
      </c>
    </row>
    <row r="66" ht="15.0" customHeight="1">
      <c r="A66" s="16" t="s">
        <v>67</v>
      </c>
      <c r="B66" s="17">
        <v>1.0</v>
      </c>
      <c r="C66" s="18"/>
      <c r="D66" s="19">
        <v>1.0</v>
      </c>
    </row>
    <row r="67" ht="18.0" customHeight="1">
      <c r="A67" s="13" t="s">
        <v>68</v>
      </c>
      <c r="B67" s="14">
        <f>SUM(B68:B71)</f>
        <v>5</v>
      </c>
      <c r="C67" s="13"/>
      <c r="D67" s="15">
        <f>SUM(D68:D71)</f>
        <v>5</v>
      </c>
    </row>
    <row r="68" ht="15.0" customHeight="1">
      <c r="A68" s="16" t="s">
        <v>69</v>
      </c>
      <c r="B68" s="17">
        <v>1.0</v>
      </c>
      <c r="C68" s="18"/>
      <c r="D68" s="19">
        <v>1.0</v>
      </c>
    </row>
    <row r="69" ht="15.0" customHeight="1">
      <c r="A69" s="16" t="s">
        <v>70</v>
      </c>
      <c r="B69" s="17">
        <v>2.0</v>
      </c>
      <c r="C69" s="18"/>
      <c r="D69" s="19">
        <v>2.0</v>
      </c>
    </row>
    <row r="70" ht="15.0" customHeight="1">
      <c r="A70" s="16" t="s">
        <v>71</v>
      </c>
      <c r="B70" s="17">
        <v>1.0</v>
      </c>
      <c r="C70" s="18"/>
      <c r="D70" s="19">
        <v>1.0</v>
      </c>
    </row>
    <row r="71" ht="15.0" customHeight="1">
      <c r="A71" s="16" t="s">
        <v>72</v>
      </c>
      <c r="B71" s="17">
        <v>1.0</v>
      </c>
      <c r="C71" s="18"/>
      <c r="D71" s="19">
        <v>1.0</v>
      </c>
    </row>
    <row r="72" ht="18.0" customHeight="1">
      <c r="A72" s="13" t="s">
        <v>73</v>
      </c>
      <c r="B72" s="14">
        <f>SUM(B73:B77)</f>
        <v>8</v>
      </c>
      <c r="C72" s="13"/>
      <c r="D72" s="15">
        <f>SUM(D73:D77)</f>
        <v>8</v>
      </c>
    </row>
    <row r="73" ht="15.0" customHeight="1">
      <c r="A73" s="16" t="s">
        <v>74</v>
      </c>
      <c r="B73" s="17">
        <v>2.0</v>
      </c>
      <c r="C73" s="18"/>
      <c r="D73" s="19">
        <v>2.0</v>
      </c>
    </row>
    <row r="74" ht="15.0" customHeight="1">
      <c r="A74" s="16" t="s">
        <v>75</v>
      </c>
      <c r="B74" s="17">
        <v>2.0</v>
      </c>
      <c r="C74" s="18"/>
      <c r="D74" s="19">
        <v>2.0</v>
      </c>
    </row>
    <row r="75" ht="15.0" customHeight="1">
      <c r="A75" s="16" t="s">
        <v>76</v>
      </c>
      <c r="B75" s="17">
        <v>1.0</v>
      </c>
      <c r="C75" s="18"/>
      <c r="D75" s="19">
        <v>1.0</v>
      </c>
    </row>
    <row r="76" ht="15.0" customHeight="1">
      <c r="A76" s="16" t="s">
        <v>77</v>
      </c>
      <c r="B76" s="17">
        <v>2.0</v>
      </c>
      <c r="C76" s="18"/>
      <c r="D76" s="19">
        <v>2.0</v>
      </c>
    </row>
    <row r="77" ht="15.0" customHeight="1">
      <c r="A77" s="16" t="s">
        <v>78</v>
      </c>
      <c r="B77" s="17">
        <v>1.0</v>
      </c>
      <c r="C77" s="18"/>
      <c r="D77" s="19">
        <v>1.0</v>
      </c>
    </row>
    <row r="78" ht="18.0" customHeight="1">
      <c r="A78" s="13" t="s">
        <v>79</v>
      </c>
      <c r="B78" s="14">
        <f>SUM(B79:B82)</f>
        <v>6</v>
      </c>
      <c r="C78" s="13"/>
      <c r="D78" s="15">
        <f>SUM(D79:D82)</f>
        <v>6</v>
      </c>
    </row>
    <row r="79" ht="15.0" customHeight="1">
      <c r="A79" s="16" t="s">
        <v>80</v>
      </c>
      <c r="B79" s="17">
        <v>2.0</v>
      </c>
      <c r="C79" s="18"/>
      <c r="D79" s="19">
        <v>2.0</v>
      </c>
    </row>
    <row r="80" ht="15.0" customHeight="1">
      <c r="A80" s="16" t="s">
        <v>81</v>
      </c>
      <c r="B80" s="17">
        <v>1.0</v>
      </c>
      <c r="C80" s="18"/>
      <c r="D80" s="19">
        <v>1.0</v>
      </c>
    </row>
    <row r="81" ht="15.0" customHeight="1">
      <c r="A81" s="16" t="s">
        <v>82</v>
      </c>
      <c r="B81" s="17">
        <v>2.0</v>
      </c>
      <c r="C81" s="18"/>
      <c r="D81" s="19">
        <v>2.0</v>
      </c>
    </row>
    <row r="82" ht="15.0" customHeight="1">
      <c r="A82" s="16" t="s">
        <v>83</v>
      </c>
      <c r="B82" s="17">
        <v>1.0</v>
      </c>
      <c r="C82" s="18"/>
      <c r="D82" s="19">
        <v>1.0</v>
      </c>
    </row>
    <row r="83" ht="19.5" customHeight="1">
      <c r="A83" s="10" t="s">
        <v>84</v>
      </c>
      <c r="B83" s="11">
        <f>B84+B87</f>
        <v>20</v>
      </c>
      <c r="C83" s="10"/>
      <c r="D83" s="12">
        <f>D84+D87</f>
        <v>12.5</v>
      </c>
    </row>
    <row r="84" ht="18.0" customHeight="1">
      <c r="A84" s="13" t="s">
        <v>85</v>
      </c>
      <c r="B84" s="14">
        <f>SUM(B85:B86)</f>
        <v>5</v>
      </c>
      <c r="C84" s="13"/>
      <c r="D84" s="15">
        <f>SUM(D85:D86)</f>
        <v>5</v>
      </c>
    </row>
    <row r="85" ht="15.0" customHeight="1">
      <c r="A85" s="16" t="s">
        <v>86</v>
      </c>
      <c r="B85" s="17">
        <v>2.5</v>
      </c>
      <c r="C85" s="18"/>
      <c r="D85" s="19">
        <v>2.5</v>
      </c>
    </row>
    <row r="86" ht="15.0" customHeight="1">
      <c r="A86" s="16" t="s">
        <v>87</v>
      </c>
      <c r="B86" s="17">
        <v>2.5</v>
      </c>
      <c r="C86" s="18"/>
      <c r="D86" s="19">
        <v>2.5</v>
      </c>
    </row>
    <row r="87" ht="18.0" customHeight="1">
      <c r="A87" s="13" t="s">
        <v>88</v>
      </c>
      <c r="B87" s="14">
        <f>SUM(B88:B90)</f>
        <v>15</v>
      </c>
      <c r="C87" s="13"/>
      <c r="D87" s="15">
        <f>SUM(D88:D90)</f>
        <v>7.5</v>
      </c>
    </row>
    <row r="88" ht="15.0" customHeight="1">
      <c r="A88" s="16" t="s">
        <v>89</v>
      </c>
      <c r="B88" s="17">
        <v>5.0</v>
      </c>
      <c r="C88" s="18"/>
      <c r="D88" s="19">
        <v>2.5</v>
      </c>
    </row>
    <row r="89" ht="15.0" customHeight="1">
      <c r="A89" s="16" t="s">
        <v>90</v>
      </c>
      <c r="B89" s="17">
        <v>5.0</v>
      </c>
      <c r="C89" s="18"/>
      <c r="D89" s="19">
        <v>2.5</v>
      </c>
    </row>
    <row r="90" ht="15.0" customHeight="1">
      <c r="A90" s="16" t="s">
        <v>91</v>
      </c>
      <c r="B90" s="17">
        <v>5.0</v>
      </c>
      <c r="C90" s="18"/>
      <c r="D90" s="19">
        <v>2.5</v>
      </c>
    </row>
    <row r="91" ht="19.5" customHeight="1">
      <c r="A91" s="21" t="s">
        <v>92</v>
      </c>
      <c r="B91" s="22">
        <f>B19+B36+B83</f>
        <v>100</v>
      </c>
      <c r="C91" s="23"/>
      <c r="D91" s="24">
        <f>D19+D36+D83</f>
        <v>92.5</v>
      </c>
    </row>
    <row r="92" ht="15.75" customHeight="1">
      <c r="A92" s="2"/>
      <c r="B92" s="2"/>
      <c r="C92" s="2"/>
      <c r="D92" s="2"/>
    </row>
    <row r="93" ht="15.75" customHeight="1">
      <c r="A93" s="1" t="s">
        <v>93</v>
      </c>
      <c r="B93" s="2"/>
      <c r="C93" s="2"/>
      <c r="D93" s="2"/>
    </row>
    <row r="94" ht="15.75" customHeight="1">
      <c r="A94" s="9" t="s">
        <v>94</v>
      </c>
      <c r="B94" s="9" t="s">
        <v>95</v>
      </c>
      <c r="C94" s="9" t="s">
        <v>18</v>
      </c>
      <c r="D94" s="9"/>
    </row>
    <row r="95" ht="15.75" customHeight="1">
      <c r="A95" s="16" t="s">
        <v>96</v>
      </c>
      <c r="B95" s="25" t="s">
        <v>97</v>
      </c>
      <c r="C95" s="26"/>
      <c r="D95" s="27"/>
    </row>
    <row r="96" ht="15.75" customHeight="1">
      <c r="A96" s="16" t="s">
        <v>98</v>
      </c>
      <c r="B96" s="25" t="s">
        <v>97</v>
      </c>
      <c r="C96" s="26"/>
      <c r="D96" s="27"/>
    </row>
    <row r="97" ht="15.75" customHeight="1">
      <c r="A97" s="16" t="s">
        <v>99</v>
      </c>
      <c r="B97" s="25" t="s">
        <v>97</v>
      </c>
      <c r="C97" s="26"/>
      <c r="D97" s="27"/>
    </row>
    <row r="98" ht="15.75" customHeight="1">
      <c r="A98" s="16" t="s">
        <v>100</v>
      </c>
      <c r="B98" s="25" t="s">
        <v>97</v>
      </c>
      <c r="C98" s="26"/>
      <c r="D98" s="27"/>
    </row>
    <row r="99" ht="15.75" customHeight="1">
      <c r="A99" s="16" t="s">
        <v>101</v>
      </c>
      <c r="B99" s="25" t="s">
        <v>97</v>
      </c>
      <c r="C99" s="26"/>
      <c r="D99" s="27"/>
    </row>
    <row r="100" ht="15.75" customHeight="1">
      <c r="A100" s="16" t="s">
        <v>102</v>
      </c>
      <c r="B100" s="25" t="s">
        <v>97</v>
      </c>
      <c r="C100" s="26"/>
      <c r="D100" s="27"/>
    </row>
    <row r="101" ht="15.75" customHeight="1">
      <c r="A101" s="2"/>
      <c r="B101" s="2"/>
      <c r="C101" s="2"/>
      <c r="D101" s="2"/>
    </row>
    <row r="102" ht="15.75" customHeight="1">
      <c r="A102" s="1" t="s">
        <v>103</v>
      </c>
      <c r="B102" s="2"/>
      <c r="C102" s="2"/>
      <c r="D102" s="2"/>
    </row>
    <row r="103" ht="15.75" customHeight="1">
      <c r="A103" s="9" t="s">
        <v>104</v>
      </c>
      <c r="B103" s="9" t="s">
        <v>105</v>
      </c>
      <c r="C103" s="9" t="s">
        <v>106</v>
      </c>
      <c r="D103" s="9" t="s">
        <v>107</v>
      </c>
    </row>
    <row r="104" ht="15.75" customHeight="1">
      <c r="A104" s="16" t="s">
        <v>108</v>
      </c>
      <c r="B104" s="28">
        <v>-0.3</v>
      </c>
      <c r="C104" s="25" t="s">
        <v>109</v>
      </c>
      <c r="D104" s="29">
        <f t="shared" ref="D104:D118" si="1">IF(C104="Sí",$D$91*B104,0)</f>
        <v>0</v>
      </c>
    </row>
    <row r="105" ht="15.75" customHeight="1">
      <c r="A105" s="16" t="s">
        <v>110</v>
      </c>
      <c r="B105" s="28">
        <v>-0.2</v>
      </c>
      <c r="C105" s="25" t="s">
        <v>109</v>
      </c>
      <c r="D105" s="29">
        <f t="shared" si="1"/>
        <v>0</v>
      </c>
    </row>
    <row r="106" ht="15.75" customHeight="1">
      <c r="A106" s="16" t="s">
        <v>111</v>
      </c>
      <c r="B106" s="28">
        <v>-1.0</v>
      </c>
      <c r="C106" s="25" t="s">
        <v>109</v>
      </c>
      <c r="D106" s="29">
        <f t="shared" si="1"/>
        <v>0</v>
      </c>
    </row>
    <row r="107" ht="15.75" customHeight="1">
      <c r="A107" s="16" t="s">
        <v>112</v>
      </c>
      <c r="B107" s="28">
        <v>-1.0</v>
      </c>
      <c r="C107" s="25" t="s">
        <v>109</v>
      </c>
      <c r="D107" s="29">
        <f t="shared" si="1"/>
        <v>0</v>
      </c>
    </row>
    <row r="108" ht="15.75" customHeight="1">
      <c r="A108" s="16" t="s">
        <v>113</v>
      </c>
      <c r="B108" s="28">
        <v>-0.75</v>
      </c>
      <c r="C108" s="25" t="s">
        <v>109</v>
      </c>
      <c r="D108" s="29">
        <f t="shared" si="1"/>
        <v>0</v>
      </c>
    </row>
    <row r="109" ht="15.75" customHeight="1">
      <c r="A109" s="16" t="s">
        <v>114</v>
      </c>
      <c r="B109" s="28">
        <v>-0.75</v>
      </c>
      <c r="C109" s="25" t="s">
        <v>109</v>
      </c>
      <c r="D109" s="29">
        <f t="shared" si="1"/>
        <v>0</v>
      </c>
    </row>
    <row r="110" ht="15.75" customHeight="1">
      <c r="A110" s="16" t="s">
        <v>115</v>
      </c>
      <c r="B110" s="28">
        <v>-0.9</v>
      </c>
      <c r="C110" s="25" t="s">
        <v>109</v>
      </c>
      <c r="D110" s="29">
        <f t="shared" si="1"/>
        <v>0</v>
      </c>
    </row>
    <row r="111" ht="15.75" customHeight="1">
      <c r="A111" s="16" t="s">
        <v>116</v>
      </c>
      <c r="B111" s="28">
        <v>-0.5</v>
      </c>
      <c r="C111" s="25" t="s">
        <v>109</v>
      </c>
      <c r="D111" s="29">
        <f t="shared" si="1"/>
        <v>0</v>
      </c>
    </row>
    <row r="112" ht="15.75" customHeight="1">
      <c r="A112" s="16" t="s">
        <v>117</v>
      </c>
      <c r="B112" s="28">
        <v>-0.5</v>
      </c>
      <c r="C112" s="25" t="s">
        <v>109</v>
      </c>
      <c r="D112" s="29">
        <f t="shared" si="1"/>
        <v>0</v>
      </c>
    </row>
    <row r="113" ht="15.75" customHeight="1">
      <c r="A113" s="16" t="s">
        <v>118</v>
      </c>
      <c r="B113" s="28">
        <v>-1.0</v>
      </c>
      <c r="C113" s="25" t="s">
        <v>109</v>
      </c>
      <c r="D113" s="29">
        <f t="shared" si="1"/>
        <v>0</v>
      </c>
    </row>
    <row r="114" ht="15.75" customHeight="1">
      <c r="A114" s="16" t="s">
        <v>119</v>
      </c>
      <c r="B114" s="28">
        <v>-0.25</v>
      </c>
      <c r="C114" s="30" t="s">
        <v>97</v>
      </c>
      <c r="D114" s="29">
        <f t="shared" si="1"/>
        <v>-23.125</v>
      </c>
    </row>
    <row r="115" ht="15.75" customHeight="1">
      <c r="A115" s="16" t="s">
        <v>120</v>
      </c>
      <c r="B115" s="28">
        <v>-1.0</v>
      </c>
      <c r="C115" s="25" t="s">
        <v>109</v>
      </c>
      <c r="D115" s="29">
        <f t="shared" si="1"/>
        <v>0</v>
      </c>
    </row>
    <row r="116" ht="15.75" customHeight="1">
      <c r="A116" s="16" t="s">
        <v>121</v>
      </c>
      <c r="B116" s="28">
        <v>-1.0</v>
      </c>
      <c r="C116" s="25" t="s">
        <v>109</v>
      </c>
      <c r="D116" s="29">
        <f t="shared" si="1"/>
        <v>0</v>
      </c>
    </row>
    <row r="117" ht="15.75" customHeight="1">
      <c r="A117" s="16" t="s">
        <v>122</v>
      </c>
      <c r="B117" s="28">
        <v>-0.5</v>
      </c>
      <c r="C117" s="25" t="s">
        <v>109</v>
      </c>
      <c r="D117" s="29">
        <f t="shared" si="1"/>
        <v>0</v>
      </c>
    </row>
    <row r="118" ht="15.75" customHeight="1">
      <c r="A118" s="16" t="s">
        <v>123</v>
      </c>
      <c r="B118" s="28">
        <v>-1.0</v>
      </c>
      <c r="C118" s="25" t="s">
        <v>109</v>
      </c>
      <c r="D118" s="29">
        <f t="shared" si="1"/>
        <v>0</v>
      </c>
    </row>
    <row r="119" ht="15.75" customHeight="1">
      <c r="A119" s="21" t="s">
        <v>124</v>
      </c>
      <c r="B119" s="23"/>
      <c r="C119" s="23"/>
      <c r="D119" s="24">
        <f>SUM(D104:D118)</f>
        <v>-23.125</v>
      </c>
    </row>
    <row r="120" ht="15.75" customHeight="1">
      <c r="A120" s="2"/>
      <c r="B120" s="2"/>
      <c r="C120" s="2"/>
      <c r="D120" s="2"/>
    </row>
    <row r="121" ht="21.75" customHeight="1">
      <c r="A121" s="31" t="s">
        <v>125</v>
      </c>
      <c r="B121" s="32"/>
      <c r="C121" s="32"/>
      <c r="D121" s="33">
        <f>MAX(0,ROUND($D$91+$D$119,2))</f>
        <v>69.38</v>
      </c>
    </row>
    <row r="122" ht="15.75" customHeight="1">
      <c r="A122" s="2"/>
      <c r="B122" s="2"/>
      <c r="C122" s="2"/>
      <c r="D122" s="2"/>
    </row>
    <row r="123" ht="15.75" customHeight="1">
      <c r="A123" s="4" t="s">
        <v>126</v>
      </c>
      <c r="B123" s="2"/>
      <c r="C123" s="2"/>
      <c r="D123" s="2"/>
    </row>
    <row r="124" ht="18.0" customHeight="1">
      <c r="A124" s="34"/>
      <c r="B124" s="35"/>
      <c r="C124" s="35"/>
      <c r="D124" s="36"/>
    </row>
    <row r="125" ht="18.0" customHeight="1">
      <c r="A125" s="34"/>
      <c r="B125" s="35"/>
      <c r="C125" s="35"/>
      <c r="D125" s="36"/>
    </row>
    <row r="126" ht="18.0" customHeight="1">
      <c r="A126" s="34"/>
      <c r="B126" s="35"/>
      <c r="C126" s="35"/>
      <c r="D126" s="36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37" t="s">
        <v>127</v>
      </c>
      <c r="B129" s="2"/>
      <c r="C129" s="37" t="s">
        <v>127</v>
      </c>
      <c r="D129" s="2"/>
    </row>
    <row r="130" ht="15.75" customHeight="1">
      <c r="A130" s="37" t="s">
        <v>128</v>
      </c>
      <c r="B130" s="2"/>
      <c r="C130" s="37" t="s">
        <v>129</v>
      </c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mergeCells count="6">
    <mergeCell ref="A14:D14"/>
    <mergeCell ref="A15:D15"/>
    <mergeCell ref="A16:D16"/>
    <mergeCell ref="A124:D124"/>
    <mergeCell ref="A125:D125"/>
    <mergeCell ref="A126:D126"/>
  </mergeCells>
  <conditionalFormatting sqref="D19:D90">
    <cfRule type="cellIs" dxfId="0" priority="1" operator="greaterThan">
      <formula>B19</formula>
    </cfRule>
  </conditionalFormatting>
  <dataValidations>
    <dataValidation type="list" allowBlank="1" sqref="B95:B100 C104:C118">
      <formula1>"Sí,No"</formula1>
    </dataValidation>
  </dataValidations>
  <printOptions horizontalCentered="1"/>
  <pageMargins bottom="1.0" footer="0.0" header="0.0" left="0.75" right="0.75" top="1.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8.0" topLeftCell="A19" activePane="bottomLeft" state="frozen"/>
      <selection activeCell="B20" sqref="B20" pane="bottomLeft"/>
    </sheetView>
  </sheetViews>
  <sheetFormatPr customHeight="1" defaultColWidth="14.43" defaultRowHeight="15.0"/>
  <cols>
    <col customWidth="1" min="1" max="1" width="78.0"/>
    <col customWidth="1" min="2" max="2" width="11.0"/>
    <col customWidth="1" min="3" max="3" width="34.0"/>
    <col customWidth="1" min="4" max="4" width="11.0"/>
    <col customWidth="1" min="5" max="26" width="8.71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3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2"/>
      <c r="B7" s="2"/>
      <c r="C7" s="2"/>
      <c r="D7" s="2"/>
    </row>
    <row r="8">
      <c r="A8" s="3" t="s">
        <v>6</v>
      </c>
      <c r="B8" s="2"/>
      <c r="C8" s="2"/>
      <c r="D8" s="2"/>
    </row>
    <row r="9">
      <c r="A9" s="2"/>
      <c r="B9" s="2"/>
      <c r="C9" s="2"/>
      <c r="D9" s="2"/>
    </row>
    <row r="10">
      <c r="A10" s="4" t="s">
        <v>7</v>
      </c>
      <c r="B10" s="5"/>
      <c r="C10" s="2"/>
      <c r="D10" s="2"/>
    </row>
    <row r="11">
      <c r="A11" s="4" t="s">
        <v>8</v>
      </c>
      <c r="B11" s="6" t="s">
        <v>139</v>
      </c>
      <c r="C11" s="2"/>
      <c r="D11" s="2"/>
    </row>
    <row r="12">
      <c r="A12" s="4" t="s">
        <v>10</v>
      </c>
      <c r="B12" s="6">
        <v>2.02400066E8</v>
      </c>
      <c r="C12" s="2"/>
      <c r="D12" s="2"/>
    </row>
    <row r="13">
      <c r="A13" s="2"/>
      <c r="B13" s="2"/>
      <c r="C13" s="2"/>
      <c r="D13" s="2"/>
    </row>
    <row r="14" ht="25.5" customHeight="1">
      <c r="A14" s="8" t="s">
        <v>12</v>
      </c>
    </row>
    <row r="15" ht="25.5" customHeight="1">
      <c r="A15" s="8" t="s">
        <v>14</v>
      </c>
    </row>
    <row r="16" ht="25.5" customHeight="1">
      <c r="A16" s="8" t="s">
        <v>15</v>
      </c>
    </row>
    <row r="17">
      <c r="A17" s="2"/>
      <c r="B17" s="2"/>
      <c r="C17" s="2"/>
      <c r="D17" s="2"/>
    </row>
    <row r="18" ht="19.5" customHeight="1">
      <c r="A18" s="9" t="s">
        <v>16</v>
      </c>
      <c r="B18" s="9" t="s">
        <v>17</v>
      </c>
      <c r="C18" s="9" t="s">
        <v>18</v>
      </c>
      <c r="D18" s="9" t="s">
        <v>19</v>
      </c>
    </row>
    <row r="19" ht="19.5" customHeight="1">
      <c r="A19" s="10" t="s">
        <v>20</v>
      </c>
      <c r="B19" s="11">
        <f>B20+B25+B30</f>
        <v>25</v>
      </c>
      <c r="C19" s="10"/>
      <c r="D19" s="12">
        <f>D20+D25+D30</f>
        <v>25</v>
      </c>
    </row>
    <row r="20" ht="18.0" customHeight="1">
      <c r="A20" s="13" t="s">
        <v>21</v>
      </c>
      <c r="B20" s="14">
        <f>SUM(B21:B24)</f>
        <v>10</v>
      </c>
      <c r="C20" s="13"/>
      <c r="D20" s="15">
        <f>SUM(D21:D24)</f>
        <v>10</v>
      </c>
    </row>
    <row r="21" ht="15.0" customHeight="1">
      <c r="A21" s="16" t="s">
        <v>22</v>
      </c>
      <c r="B21" s="17">
        <v>3.0</v>
      </c>
      <c r="C21" s="18"/>
      <c r="D21" s="19">
        <v>3.0</v>
      </c>
    </row>
    <row r="22" ht="15.0" customHeight="1">
      <c r="A22" s="16" t="s">
        <v>23</v>
      </c>
      <c r="B22" s="17">
        <v>3.0</v>
      </c>
      <c r="C22" s="18"/>
      <c r="D22" s="19">
        <v>3.0</v>
      </c>
    </row>
    <row r="23" ht="15.0" customHeight="1">
      <c r="A23" s="16" t="s">
        <v>24</v>
      </c>
      <c r="B23" s="17">
        <v>2.0</v>
      </c>
      <c r="C23" s="18"/>
      <c r="D23" s="19">
        <v>2.0</v>
      </c>
    </row>
    <row r="24" ht="15.0" customHeight="1">
      <c r="A24" s="16" t="s">
        <v>25</v>
      </c>
      <c r="B24" s="17">
        <v>2.0</v>
      </c>
      <c r="C24" s="18"/>
      <c r="D24" s="19">
        <v>2.0</v>
      </c>
    </row>
    <row r="25" ht="18.0" customHeight="1">
      <c r="A25" s="13" t="s">
        <v>26</v>
      </c>
      <c r="B25" s="14">
        <f>SUM(B26:B29)</f>
        <v>10</v>
      </c>
      <c r="C25" s="13"/>
      <c r="D25" s="15">
        <f>SUM(D26:D29)</f>
        <v>10</v>
      </c>
    </row>
    <row r="26" ht="15.0" customHeight="1">
      <c r="A26" s="16" t="s">
        <v>27</v>
      </c>
      <c r="B26" s="17">
        <v>4.0</v>
      </c>
      <c r="C26" s="18"/>
      <c r="D26" s="19">
        <v>4.0</v>
      </c>
    </row>
    <row r="27" ht="15.0" customHeight="1">
      <c r="A27" s="16" t="s">
        <v>28</v>
      </c>
      <c r="B27" s="17">
        <v>2.0</v>
      </c>
      <c r="C27" s="18"/>
      <c r="D27" s="19">
        <v>2.0</v>
      </c>
    </row>
    <row r="28" ht="15.0" customHeight="1">
      <c r="A28" s="16" t="s">
        <v>29</v>
      </c>
      <c r="B28" s="17">
        <v>3.0</v>
      </c>
      <c r="C28" s="18"/>
      <c r="D28" s="19">
        <v>3.0</v>
      </c>
    </row>
    <row r="29" ht="15.0" customHeight="1">
      <c r="A29" s="16" t="s">
        <v>30</v>
      </c>
      <c r="B29" s="17">
        <v>1.0</v>
      </c>
      <c r="C29" s="18"/>
      <c r="D29" s="19">
        <v>1.0</v>
      </c>
    </row>
    <row r="30" ht="18.0" customHeight="1">
      <c r="A30" s="13" t="s">
        <v>31</v>
      </c>
      <c r="B30" s="14">
        <f>SUM(B31:B35)</f>
        <v>5</v>
      </c>
      <c r="C30" s="13"/>
      <c r="D30" s="15">
        <f>SUM(D31:D35)</f>
        <v>5</v>
      </c>
    </row>
    <row r="31" ht="15.0" customHeight="1">
      <c r="A31" s="16" t="s">
        <v>32</v>
      </c>
      <c r="B31" s="17">
        <v>1.0</v>
      </c>
      <c r="C31" s="18"/>
      <c r="D31" s="19">
        <v>1.0</v>
      </c>
    </row>
    <row r="32" ht="15.0" customHeight="1">
      <c r="A32" s="16" t="s">
        <v>33</v>
      </c>
      <c r="B32" s="17">
        <v>1.0</v>
      </c>
      <c r="C32" s="18"/>
      <c r="D32" s="19">
        <v>1.0</v>
      </c>
    </row>
    <row r="33" ht="15.0" customHeight="1">
      <c r="A33" s="16" t="s">
        <v>34</v>
      </c>
      <c r="B33" s="17">
        <v>1.0</v>
      </c>
      <c r="C33" s="18"/>
      <c r="D33" s="19">
        <v>1.0</v>
      </c>
    </row>
    <row r="34" ht="15.0" customHeight="1">
      <c r="A34" s="16" t="s">
        <v>35</v>
      </c>
      <c r="B34" s="17">
        <v>1.0</v>
      </c>
      <c r="C34" s="18"/>
      <c r="D34" s="19">
        <v>1.0</v>
      </c>
    </row>
    <row r="35" ht="15.0" customHeight="1">
      <c r="A35" s="16" t="s">
        <v>36</v>
      </c>
      <c r="B35" s="17">
        <v>1.0</v>
      </c>
      <c r="C35" s="18"/>
      <c r="D35" s="19">
        <v>1.0</v>
      </c>
    </row>
    <row r="36" ht="19.5" customHeight="1">
      <c r="A36" s="10" t="s">
        <v>37</v>
      </c>
      <c r="B36" s="11">
        <f>B37+B43+B55+B61+B67+B72+B78</f>
        <v>55</v>
      </c>
      <c r="C36" s="10"/>
      <c r="D36" s="12">
        <f>D37+D43+D55+D61+D67+D72+D78</f>
        <v>55</v>
      </c>
    </row>
    <row r="37" ht="18.0" customHeight="1">
      <c r="A37" s="13" t="s">
        <v>38</v>
      </c>
      <c r="B37" s="14">
        <f>SUM(B38:B42)</f>
        <v>5</v>
      </c>
      <c r="C37" s="13"/>
      <c r="D37" s="15">
        <f>SUM(D38:D42)</f>
        <v>5</v>
      </c>
    </row>
    <row r="38" ht="15.0" customHeight="1">
      <c r="A38" s="16" t="s">
        <v>39</v>
      </c>
      <c r="B38" s="17">
        <v>1.0</v>
      </c>
      <c r="C38" s="18"/>
      <c r="D38" s="19">
        <v>1.0</v>
      </c>
    </row>
    <row r="39" ht="15.0" customHeight="1">
      <c r="A39" s="16" t="s">
        <v>40</v>
      </c>
      <c r="B39" s="17">
        <v>1.0</v>
      </c>
      <c r="C39" s="18"/>
      <c r="D39" s="19">
        <v>1.0</v>
      </c>
    </row>
    <row r="40" ht="15.0" customHeight="1">
      <c r="A40" s="16" t="s">
        <v>41</v>
      </c>
      <c r="B40" s="17">
        <v>1.0</v>
      </c>
      <c r="C40" s="18"/>
      <c r="D40" s="19">
        <v>1.0</v>
      </c>
    </row>
    <row r="41" ht="15.0" customHeight="1">
      <c r="A41" s="16" t="s">
        <v>42</v>
      </c>
      <c r="B41" s="17">
        <v>1.0</v>
      </c>
      <c r="C41" s="18"/>
      <c r="D41" s="19">
        <v>1.0</v>
      </c>
    </row>
    <row r="42" ht="15.0" customHeight="1">
      <c r="A42" s="16" t="s">
        <v>43</v>
      </c>
      <c r="B42" s="17">
        <v>1.0</v>
      </c>
      <c r="C42" s="18"/>
      <c r="D42" s="19">
        <v>1.0</v>
      </c>
    </row>
    <row r="43" ht="18.0" customHeight="1">
      <c r="A43" s="13" t="s">
        <v>44</v>
      </c>
      <c r="B43" s="14">
        <f>SUM(B44:B54)</f>
        <v>15</v>
      </c>
      <c r="C43" s="13"/>
      <c r="D43" s="15">
        <f>SUM(D44:D54)</f>
        <v>15</v>
      </c>
    </row>
    <row r="44" ht="15.0" customHeight="1">
      <c r="A44" s="16" t="s">
        <v>45</v>
      </c>
      <c r="B44" s="17">
        <v>2.0</v>
      </c>
      <c r="C44" s="18"/>
      <c r="D44" s="19">
        <v>2.0</v>
      </c>
    </row>
    <row r="45" ht="15.0" customHeight="1">
      <c r="A45" s="16" t="s">
        <v>46</v>
      </c>
      <c r="B45" s="17">
        <v>1.0</v>
      </c>
      <c r="C45" s="18"/>
      <c r="D45" s="19">
        <v>1.0</v>
      </c>
    </row>
    <row r="46" ht="15.0" customHeight="1">
      <c r="A46" s="16" t="s">
        <v>47</v>
      </c>
      <c r="B46" s="17">
        <v>1.0</v>
      </c>
      <c r="C46" s="18"/>
      <c r="D46" s="19">
        <v>1.0</v>
      </c>
    </row>
    <row r="47" ht="15.0" customHeight="1">
      <c r="A47" s="16" t="s">
        <v>48</v>
      </c>
      <c r="B47" s="17">
        <v>1.0</v>
      </c>
      <c r="C47" s="18"/>
      <c r="D47" s="19">
        <v>1.0</v>
      </c>
    </row>
    <row r="48" ht="15.0" customHeight="1">
      <c r="A48" s="16" t="s">
        <v>49</v>
      </c>
      <c r="B48" s="17">
        <v>2.0</v>
      </c>
      <c r="C48" s="18"/>
      <c r="D48" s="19">
        <v>2.0</v>
      </c>
    </row>
    <row r="49" ht="15.0" customHeight="1">
      <c r="A49" s="16" t="s">
        <v>50</v>
      </c>
      <c r="B49" s="17">
        <v>2.0</v>
      </c>
      <c r="C49" s="18"/>
      <c r="D49" s="19">
        <v>2.0</v>
      </c>
    </row>
    <row r="50" ht="15.0" customHeight="1">
      <c r="A50" s="16" t="s">
        <v>51</v>
      </c>
      <c r="B50" s="17">
        <v>1.0</v>
      </c>
      <c r="C50" s="18"/>
      <c r="D50" s="19">
        <v>1.0</v>
      </c>
    </row>
    <row r="51" ht="15.0" customHeight="1">
      <c r="A51" s="16" t="s">
        <v>52</v>
      </c>
      <c r="B51" s="17">
        <v>1.0</v>
      </c>
      <c r="C51" s="18"/>
      <c r="D51" s="19">
        <v>1.0</v>
      </c>
    </row>
    <row r="52" ht="15.0" customHeight="1">
      <c r="A52" s="16" t="s">
        <v>53</v>
      </c>
      <c r="B52" s="17">
        <v>2.0</v>
      </c>
      <c r="C52" s="18"/>
      <c r="D52" s="19">
        <v>2.0</v>
      </c>
    </row>
    <row r="53" ht="15.0" customHeight="1">
      <c r="A53" s="16" t="s">
        <v>54</v>
      </c>
      <c r="B53" s="17">
        <v>1.0</v>
      </c>
      <c r="C53" s="18"/>
      <c r="D53" s="19">
        <v>1.0</v>
      </c>
    </row>
    <row r="54" ht="15.0" customHeight="1">
      <c r="A54" s="16" t="s">
        <v>55</v>
      </c>
      <c r="B54" s="17">
        <v>1.0</v>
      </c>
      <c r="C54" s="18"/>
      <c r="D54" s="19">
        <v>1.0</v>
      </c>
    </row>
    <row r="55" ht="18.0" customHeight="1">
      <c r="A55" s="13" t="s">
        <v>56</v>
      </c>
      <c r="B55" s="14">
        <f>SUM(B56:B60)</f>
        <v>8</v>
      </c>
      <c r="C55" s="13"/>
      <c r="D55" s="15">
        <f>SUM(D56:D60)</f>
        <v>8</v>
      </c>
    </row>
    <row r="56" ht="15.0" customHeight="1">
      <c r="A56" s="16" t="s">
        <v>57</v>
      </c>
      <c r="B56" s="17">
        <v>1.0</v>
      </c>
      <c r="C56" s="18"/>
      <c r="D56" s="19">
        <v>1.0</v>
      </c>
    </row>
    <row r="57" ht="15.0" customHeight="1">
      <c r="A57" s="16" t="s">
        <v>58</v>
      </c>
      <c r="B57" s="17">
        <v>2.0</v>
      </c>
      <c r="C57" s="18"/>
      <c r="D57" s="19">
        <v>2.0</v>
      </c>
    </row>
    <row r="58" ht="15.0" customHeight="1">
      <c r="A58" s="16" t="s">
        <v>59</v>
      </c>
      <c r="B58" s="17">
        <v>2.0</v>
      </c>
      <c r="C58" s="18"/>
      <c r="D58" s="19">
        <v>2.0</v>
      </c>
    </row>
    <row r="59" ht="15.0" customHeight="1">
      <c r="A59" s="16" t="s">
        <v>60</v>
      </c>
      <c r="B59" s="17">
        <v>2.0</v>
      </c>
      <c r="C59" s="18"/>
      <c r="D59" s="19">
        <v>2.0</v>
      </c>
    </row>
    <row r="60" ht="15.0" customHeight="1">
      <c r="A60" s="16" t="s">
        <v>61</v>
      </c>
      <c r="B60" s="17">
        <v>1.0</v>
      </c>
      <c r="C60" s="18"/>
      <c r="D60" s="19">
        <v>1.0</v>
      </c>
    </row>
    <row r="61" ht="18.0" customHeight="1">
      <c r="A61" s="13" t="s">
        <v>62</v>
      </c>
      <c r="B61" s="14">
        <f>SUM(B62:B66)</f>
        <v>8</v>
      </c>
      <c r="C61" s="13"/>
      <c r="D61" s="15">
        <f>SUM(D62:D66)</f>
        <v>8</v>
      </c>
    </row>
    <row r="62" ht="15.0" customHeight="1">
      <c r="A62" s="16" t="s">
        <v>63</v>
      </c>
      <c r="B62" s="17">
        <v>2.0</v>
      </c>
      <c r="C62" s="18"/>
      <c r="D62" s="19">
        <v>2.0</v>
      </c>
    </row>
    <row r="63" ht="15.0" customHeight="1">
      <c r="A63" s="16" t="s">
        <v>64</v>
      </c>
      <c r="B63" s="17">
        <v>2.0</v>
      </c>
      <c r="C63" s="18"/>
      <c r="D63" s="19">
        <v>2.0</v>
      </c>
    </row>
    <row r="64" ht="15.0" customHeight="1">
      <c r="A64" s="16" t="s">
        <v>65</v>
      </c>
      <c r="B64" s="17">
        <v>1.0</v>
      </c>
      <c r="C64" s="18"/>
      <c r="D64" s="19">
        <v>1.0</v>
      </c>
    </row>
    <row r="65" ht="15.0" customHeight="1">
      <c r="A65" s="16" t="s">
        <v>66</v>
      </c>
      <c r="B65" s="17">
        <v>2.0</v>
      </c>
      <c r="C65" s="18"/>
      <c r="D65" s="19">
        <v>2.0</v>
      </c>
    </row>
    <row r="66" ht="15.0" customHeight="1">
      <c r="A66" s="16" t="s">
        <v>67</v>
      </c>
      <c r="B66" s="17">
        <v>1.0</v>
      </c>
      <c r="C66" s="18"/>
      <c r="D66" s="19">
        <v>1.0</v>
      </c>
    </row>
    <row r="67" ht="18.0" customHeight="1">
      <c r="A67" s="13" t="s">
        <v>68</v>
      </c>
      <c r="B67" s="14">
        <f>SUM(B68:B71)</f>
        <v>5</v>
      </c>
      <c r="C67" s="13"/>
      <c r="D67" s="15">
        <f>SUM(D68:D71)</f>
        <v>5</v>
      </c>
    </row>
    <row r="68" ht="15.0" customHeight="1">
      <c r="A68" s="16" t="s">
        <v>69</v>
      </c>
      <c r="B68" s="17">
        <v>1.0</v>
      </c>
      <c r="C68" s="18"/>
      <c r="D68" s="19">
        <v>1.0</v>
      </c>
    </row>
    <row r="69" ht="15.0" customHeight="1">
      <c r="A69" s="16" t="s">
        <v>70</v>
      </c>
      <c r="B69" s="17">
        <v>2.0</v>
      </c>
      <c r="C69" s="18"/>
      <c r="D69" s="19">
        <v>2.0</v>
      </c>
    </row>
    <row r="70" ht="15.0" customHeight="1">
      <c r="A70" s="16" t="s">
        <v>71</v>
      </c>
      <c r="B70" s="17">
        <v>1.0</v>
      </c>
      <c r="C70" s="18"/>
      <c r="D70" s="19">
        <v>1.0</v>
      </c>
    </row>
    <row r="71" ht="15.0" customHeight="1">
      <c r="A71" s="16" t="s">
        <v>72</v>
      </c>
      <c r="B71" s="17">
        <v>1.0</v>
      </c>
      <c r="C71" s="18"/>
      <c r="D71" s="19">
        <v>1.0</v>
      </c>
    </row>
    <row r="72" ht="18.0" customHeight="1">
      <c r="A72" s="13" t="s">
        <v>73</v>
      </c>
      <c r="B72" s="14">
        <f>SUM(B73:B77)</f>
        <v>8</v>
      </c>
      <c r="C72" s="13"/>
      <c r="D72" s="15">
        <f>SUM(D73:D77)</f>
        <v>8</v>
      </c>
    </row>
    <row r="73" ht="15.0" customHeight="1">
      <c r="A73" s="16" t="s">
        <v>74</v>
      </c>
      <c r="B73" s="17">
        <v>2.0</v>
      </c>
      <c r="C73" s="18"/>
      <c r="D73" s="19">
        <v>2.0</v>
      </c>
    </row>
    <row r="74" ht="15.0" customHeight="1">
      <c r="A74" s="16" t="s">
        <v>75</v>
      </c>
      <c r="B74" s="17">
        <v>2.0</v>
      </c>
      <c r="C74" s="18"/>
      <c r="D74" s="19">
        <v>2.0</v>
      </c>
    </row>
    <row r="75" ht="15.0" customHeight="1">
      <c r="A75" s="16" t="s">
        <v>76</v>
      </c>
      <c r="B75" s="17">
        <v>1.0</v>
      </c>
      <c r="C75" s="18"/>
      <c r="D75" s="19">
        <v>1.0</v>
      </c>
    </row>
    <row r="76" ht="15.0" customHeight="1">
      <c r="A76" s="16" t="s">
        <v>77</v>
      </c>
      <c r="B76" s="17">
        <v>2.0</v>
      </c>
      <c r="C76" s="18"/>
      <c r="D76" s="19">
        <v>2.0</v>
      </c>
    </row>
    <row r="77" ht="15.0" customHeight="1">
      <c r="A77" s="16" t="s">
        <v>78</v>
      </c>
      <c r="B77" s="17">
        <v>1.0</v>
      </c>
      <c r="C77" s="18"/>
      <c r="D77" s="19">
        <v>1.0</v>
      </c>
    </row>
    <row r="78" ht="18.0" customHeight="1">
      <c r="A78" s="13" t="s">
        <v>79</v>
      </c>
      <c r="B78" s="14">
        <f>SUM(B79:B82)</f>
        <v>6</v>
      </c>
      <c r="C78" s="13"/>
      <c r="D78" s="15">
        <f>SUM(D79:D82)</f>
        <v>6</v>
      </c>
    </row>
    <row r="79" ht="15.0" customHeight="1">
      <c r="A79" s="16" t="s">
        <v>80</v>
      </c>
      <c r="B79" s="17">
        <v>2.0</v>
      </c>
      <c r="C79" s="18"/>
      <c r="D79" s="19">
        <v>2.0</v>
      </c>
    </row>
    <row r="80" ht="15.0" customHeight="1">
      <c r="A80" s="16" t="s">
        <v>81</v>
      </c>
      <c r="B80" s="17">
        <v>1.0</v>
      </c>
      <c r="C80" s="18"/>
      <c r="D80" s="19">
        <v>1.0</v>
      </c>
    </row>
    <row r="81" ht="15.0" customHeight="1">
      <c r="A81" s="16" t="s">
        <v>82</v>
      </c>
      <c r="B81" s="17">
        <v>2.0</v>
      </c>
      <c r="C81" s="18"/>
      <c r="D81" s="19">
        <v>2.0</v>
      </c>
    </row>
    <row r="82" ht="15.0" customHeight="1">
      <c r="A82" s="16" t="s">
        <v>83</v>
      </c>
      <c r="B82" s="17">
        <v>1.0</v>
      </c>
      <c r="C82" s="18"/>
      <c r="D82" s="19">
        <v>1.0</v>
      </c>
    </row>
    <row r="83" ht="19.5" customHeight="1">
      <c r="A83" s="10" t="s">
        <v>84</v>
      </c>
      <c r="B83" s="11">
        <f>B84+B87</f>
        <v>20</v>
      </c>
      <c r="C83" s="10"/>
      <c r="D83" s="12">
        <f>D84+D87</f>
        <v>7.5</v>
      </c>
    </row>
    <row r="84" ht="18.0" customHeight="1">
      <c r="A84" s="13" t="s">
        <v>85</v>
      </c>
      <c r="B84" s="14">
        <f>SUM(B85:B86)</f>
        <v>5</v>
      </c>
      <c r="C84" s="13"/>
      <c r="D84" s="15">
        <f>SUM(D85:D86)</f>
        <v>0</v>
      </c>
    </row>
    <row r="85" ht="15.0" customHeight="1">
      <c r="A85" s="16" t="s">
        <v>86</v>
      </c>
      <c r="B85" s="17">
        <v>2.5</v>
      </c>
      <c r="C85" s="18"/>
      <c r="D85" s="19">
        <v>0.0</v>
      </c>
    </row>
    <row r="86" ht="15.0" customHeight="1">
      <c r="A86" s="16" t="s">
        <v>87</v>
      </c>
      <c r="B86" s="17">
        <v>2.5</v>
      </c>
      <c r="C86" s="18"/>
      <c r="D86" s="19">
        <v>0.0</v>
      </c>
    </row>
    <row r="87" ht="18.0" customHeight="1">
      <c r="A87" s="13" t="s">
        <v>88</v>
      </c>
      <c r="B87" s="14">
        <f>SUM(B88:B90)</f>
        <v>15</v>
      </c>
      <c r="C87" s="13"/>
      <c r="D87" s="15">
        <f>SUM(D88:D90)</f>
        <v>7.5</v>
      </c>
    </row>
    <row r="88" ht="15.0" customHeight="1">
      <c r="A88" s="16" t="s">
        <v>89</v>
      </c>
      <c r="B88" s="17">
        <v>5.0</v>
      </c>
      <c r="C88" s="18"/>
      <c r="D88" s="19">
        <v>2.5</v>
      </c>
    </row>
    <row r="89" ht="15.0" customHeight="1">
      <c r="A89" s="16" t="s">
        <v>90</v>
      </c>
      <c r="B89" s="17">
        <v>5.0</v>
      </c>
      <c r="C89" s="18"/>
      <c r="D89" s="19">
        <v>2.5</v>
      </c>
    </row>
    <row r="90" ht="15.0" customHeight="1">
      <c r="A90" s="16" t="s">
        <v>91</v>
      </c>
      <c r="B90" s="17">
        <v>5.0</v>
      </c>
      <c r="C90" s="18"/>
      <c r="D90" s="19">
        <v>2.5</v>
      </c>
    </row>
    <row r="91" ht="19.5" customHeight="1">
      <c r="A91" s="21" t="s">
        <v>92</v>
      </c>
      <c r="B91" s="22">
        <f>B19+B36+B83</f>
        <v>100</v>
      </c>
      <c r="C91" s="23"/>
      <c r="D91" s="24">
        <f>D19+D36+D83</f>
        <v>87.5</v>
      </c>
    </row>
    <row r="92" ht="15.75" customHeight="1">
      <c r="A92" s="2"/>
      <c r="B92" s="2"/>
      <c r="C92" s="2"/>
      <c r="D92" s="2"/>
    </row>
    <row r="93" ht="15.75" customHeight="1">
      <c r="A93" s="1" t="s">
        <v>93</v>
      </c>
      <c r="B93" s="2"/>
      <c r="C93" s="2"/>
      <c r="D93" s="2"/>
    </row>
    <row r="94" ht="15.75" customHeight="1">
      <c r="A94" s="9" t="s">
        <v>94</v>
      </c>
      <c r="B94" s="9" t="s">
        <v>95</v>
      </c>
      <c r="C94" s="9" t="s">
        <v>18</v>
      </c>
      <c r="D94" s="9"/>
    </row>
    <row r="95" ht="15.75" customHeight="1">
      <c r="A95" s="16" t="s">
        <v>96</v>
      </c>
      <c r="B95" s="25" t="s">
        <v>97</v>
      </c>
      <c r="C95" s="26"/>
      <c r="D95" s="27"/>
    </row>
    <row r="96" ht="15.75" customHeight="1">
      <c r="A96" s="16" t="s">
        <v>98</v>
      </c>
      <c r="B96" s="25" t="s">
        <v>97</v>
      </c>
      <c r="C96" s="26"/>
      <c r="D96" s="27"/>
    </row>
    <row r="97" ht="15.75" customHeight="1">
      <c r="A97" s="16" t="s">
        <v>99</v>
      </c>
      <c r="B97" s="25" t="s">
        <v>97</v>
      </c>
      <c r="C97" s="26"/>
      <c r="D97" s="27"/>
    </row>
    <row r="98" ht="15.75" customHeight="1">
      <c r="A98" s="16" t="s">
        <v>100</v>
      </c>
      <c r="B98" s="25" t="s">
        <v>97</v>
      </c>
      <c r="C98" s="26"/>
      <c r="D98" s="27"/>
    </row>
    <row r="99" ht="15.75" customHeight="1">
      <c r="A99" s="16" t="s">
        <v>101</v>
      </c>
      <c r="B99" s="25" t="s">
        <v>97</v>
      </c>
      <c r="C99" s="26"/>
      <c r="D99" s="27"/>
    </row>
    <row r="100" ht="15.75" customHeight="1">
      <c r="A100" s="16" t="s">
        <v>102</v>
      </c>
      <c r="B100" s="25" t="s">
        <v>97</v>
      </c>
      <c r="C100" s="26"/>
      <c r="D100" s="27"/>
    </row>
    <row r="101" ht="15.75" customHeight="1">
      <c r="A101" s="2"/>
      <c r="B101" s="2"/>
      <c r="C101" s="2"/>
      <c r="D101" s="2"/>
    </row>
    <row r="102" ht="15.75" customHeight="1">
      <c r="A102" s="1" t="s">
        <v>103</v>
      </c>
      <c r="B102" s="2"/>
      <c r="C102" s="2"/>
      <c r="D102" s="2"/>
    </row>
    <row r="103" ht="15.75" customHeight="1">
      <c r="A103" s="9" t="s">
        <v>104</v>
      </c>
      <c r="B103" s="9" t="s">
        <v>105</v>
      </c>
      <c r="C103" s="9" t="s">
        <v>106</v>
      </c>
      <c r="D103" s="9" t="s">
        <v>107</v>
      </c>
    </row>
    <row r="104" ht="15.75" customHeight="1">
      <c r="A104" s="16" t="s">
        <v>108</v>
      </c>
      <c r="B104" s="28">
        <v>-0.3</v>
      </c>
      <c r="C104" s="25" t="s">
        <v>109</v>
      </c>
      <c r="D104" s="29">
        <f t="shared" ref="D104:D118" si="1">IF(C104="Sí",$D$91*B104,0)</f>
        <v>0</v>
      </c>
    </row>
    <row r="105" ht="15.75" customHeight="1">
      <c r="A105" s="16" t="s">
        <v>110</v>
      </c>
      <c r="B105" s="28">
        <v>-0.2</v>
      </c>
      <c r="C105" s="25" t="s">
        <v>109</v>
      </c>
      <c r="D105" s="29">
        <f t="shared" si="1"/>
        <v>0</v>
      </c>
    </row>
    <row r="106" ht="15.75" customHeight="1">
      <c r="A106" s="16" t="s">
        <v>111</v>
      </c>
      <c r="B106" s="28">
        <v>-1.0</v>
      </c>
      <c r="C106" s="25" t="s">
        <v>109</v>
      </c>
      <c r="D106" s="29">
        <f t="shared" si="1"/>
        <v>0</v>
      </c>
    </row>
    <row r="107" ht="15.75" customHeight="1">
      <c r="A107" s="16" t="s">
        <v>112</v>
      </c>
      <c r="B107" s="28">
        <v>-1.0</v>
      </c>
      <c r="C107" s="25" t="s">
        <v>109</v>
      </c>
      <c r="D107" s="29">
        <f t="shared" si="1"/>
        <v>0</v>
      </c>
    </row>
    <row r="108" ht="15.75" customHeight="1">
      <c r="A108" s="16" t="s">
        <v>113</v>
      </c>
      <c r="B108" s="28">
        <v>-0.75</v>
      </c>
      <c r="C108" s="25" t="s">
        <v>109</v>
      </c>
      <c r="D108" s="29">
        <f t="shared" si="1"/>
        <v>0</v>
      </c>
    </row>
    <row r="109" ht="15.75" customHeight="1">
      <c r="A109" s="16" t="s">
        <v>114</v>
      </c>
      <c r="B109" s="28">
        <v>-0.75</v>
      </c>
      <c r="C109" s="25" t="s">
        <v>109</v>
      </c>
      <c r="D109" s="29">
        <f t="shared" si="1"/>
        <v>0</v>
      </c>
    </row>
    <row r="110" ht="15.75" customHeight="1">
      <c r="A110" s="16" t="s">
        <v>115</v>
      </c>
      <c r="B110" s="28">
        <v>-0.9</v>
      </c>
      <c r="C110" s="25" t="s">
        <v>109</v>
      </c>
      <c r="D110" s="29">
        <f t="shared" si="1"/>
        <v>0</v>
      </c>
    </row>
    <row r="111" ht="15.75" customHeight="1">
      <c r="A111" s="16" t="s">
        <v>116</v>
      </c>
      <c r="B111" s="28">
        <v>-0.5</v>
      </c>
      <c r="C111" s="25" t="s">
        <v>109</v>
      </c>
      <c r="D111" s="29">
        <f t="shared" si="1"/>
        <v>0</v>
      </c>
    </row>
    <row r="112" ht="15.75" customHeight="1">
      <c r="A112" s="16" t="s">
        <v>117</v>
      </c>
      <c r="B112" s="28">
        <v>-0.5</v>
      </c>
      <c r="C112" s="25" t="s">
        <v>109</v>
      </c>
      <c r="D112" s="29">
        <f t="shared" si="1"/>
        <v>0</v>
      </c>
    </row>
    <row r="113" ht="15.75" customHeight="1">
      <c r="A113" s="16" t="s">
        <v>118</v>
      </c>
      <c r="B113" s="28">
        <v>-1.0</v>
      </c>
      <c r="C113" s="25" t="s">
        <v>109</v>
      </c>
      <c r="D113" s="29">
        <f t="shared" si="1"/>
        <v>0</v>
      </c>
    </row>
    <row r="114" ht="15.75" customHeight="1">
      <c r="A114" s="16" t="s">
        <v>119</v>
      </c>
      <c r="B114" s="28">
        <v>-0.25</v>
      </c>
      <c r="C114" s="25" t="s">
        <v>109</v>
      </c>
      <c r="D114" s="29">
        <f t="shared" si="1"/>
        <v>0</v>
      </c>
    </row>
    <row r="115" ht="15.75" customHeight="1">
      <c r="A115" s="16" t="s">
        <v>120</v>
      </c>
      <c r="B115" s="28">
        <v>-1.0</v>
      </c>
      <c r="C115" s="25" t="s">
        <v>109</v>
      </c>
      <c r="D115" s="29">
        <f t="shared" si="1"/>
        <v>0</v>
      </c>
    </row>
    <row r="116" ht="15.75" customHeight="1">
      <c r="A116" s="16" t="s">
        <v>121</v>
      </c>
      <c r="B116" s="28">
        <v>-1.0</v>
      </c>
      <c r="C116" s="25" t="s">
        <v>109</v>
      </c>
      <c r="D116" s="29">
        <f t="shared" si="1"/>
        <v>0</v>
      </c>
    </row>
    <row r="117" ht="15.75" customHeight="1">
      <c r="A117" s="16" t="s">
        <v>122</v>
      </c>
      <c r="B117" s="28">
        <v>-0.5</v>
      </c>
      <c r="C117" s="25" t="s">
        <v>109</v>
      </c>
      <c r="D117" s="29">
        <f t="shared" si="1"/>
        <v>0</v>
      </c>
    </row>
    <row r="118" ht="15.75" customHeight="1">
      <c r="A118" s="16" t="s">
        <v>123</v>
      </c>
      <c r="B118" s="28">
        <v>-1.0</v>
      </c>
      <c r="C118" s="25" t="s">
        <v>109</v>
      </c>
      <c r="D118" s="29">
        <f t="shared" si="1"/>
        <v>0</v>
      </c>
    </row>
    <row r="119" ht="15.75" customHeight="1">
      <c r="A119" s="21" t="s">
        <v>124</v>
      </c>
      <c r="B119" s="23"/>
      <c r="C119" s="23"/>
      <c r="D119" s="24">
        <f>SUM(D104:D118)</f>
        <v>0</v>
      </c>
    </row>
    <row r="120" ht="15.75" customHeight="1">
      <c r="A120" s="2"/>
      <c r="B120" s="2"/>
      <c r="C120" s="2"/>
      <c r="D120" s="2"/>
    </row>
    <row r="121" ht="21.75" customHeight="1">
      <c r="A121" s="31" t="s">
        <v>125</v>
      </c>
      <c r="B121" s="32"/>
      <c r="C121" s="32"/>
      <c r="D121" s="33">
        <f>MAX(0,ROUND($D$91+$D$119,2))</f>
        <v>87.5</v>
      </c>
    </row>
    <row r="122" ht="15.75" customHeight="1">
      <c r="A122" s="2"/>
      <c r="B122" s="2"/>
      <c r="C122" s="2"/>
      <c r="D122" s="2"/>
    </row>
    <row r="123" ht="15.75" customHeight="1">
      <c r="A123" s="4" t="s">
        <v>126</v>
      </c>
      <c r="B123" s="2"/>
      <c r="C123" s="2"/>
      <c r="D123" s="2"/>
    </row>
    <row r="124" ht="18.0" customHeight="1">
      <c r="A124" s="34"/>
      <c r="B124" s="35"/>
      <c r="C124" s="35"/>
      <c r="D124" s="36"/>
    </row>
    <row r="125" ht="18.0" customHeight="1">
      <c r="A125" s="34"/>
      <c r="B125" s="35"/>
      <c r="C125" s="35"/>
      <c r="D125" s="36"/>
    </row>
    <row r="126" ht="18.0" customHeight="1">
      <c r="A126" s="34"/>
      <c r="B126" s="35"/>
      <c r="C126" s="35"/>
      <c r="D126" s="36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37" t="s">
        <v>127</v>
      </c>
      <c r="B129" s="2"/>
      <c r="C129" s="37" t="s">
        <v>127</v>
      </c>
      <c r="D129" s="2"/>
    </row>
    <row r="130" ht="15.75" customHeight="1">
      <c r="A130" s="37" t="s">
        <v>128</v>
      </c>
      <c r="B130" s="2"/>
      <c r="C130" s="37" t="s">
        <v>129</v>
      </c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mergeCells count="6">
    <mergeCell ref="A14:D14"/>
    <mergeCell ref="A15:D15"/>
    <mergeCell ref="A16:D16"/>
    <mergeCell ref="A124:D124"/>
    <mergeCell ref="A125:D125"/>
    <mergeCell ref="A126:D126"/>
  </mergeCells>
  <conditionalFormatting sqref="D19:D90">
    <cfRule type="cellIs" dxfId="0" priority="1" operator="greaterThan">
      <formula>B19</formula>
    </cfRule>
  </conditionalFormatting>
  <dataValidations>
    <dataValidation type="list" allowBlank="1" sqref="B95:B100 C104:C118">
      <formula1>"Sí,No"</formula1>
    </dataValidation>
  </dataValidations>
  <printOptions horizontalCentered="1"/>
  <pageMargins bottom="1.0" footer="0.0" header="0.0" left="0.75" right="0.75" top="1.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8.0" topLeftCell="A19" activePane="bottomLeft" state="frozen"/>
      <selection activeCell="B20" sqref="B20" pane="bottomLeft"/>
    </sheetView>
  </sheetViews>
  <sheetFormatPr customHeight="1" defaultColWidth="14.43" defaultRowHeight="15.0"/>
  <cols>
    <col customWidth="1" min="1" max="1" width="78.0"/>
    <col customWidth="1" min="2" max="2" width="11.0"/>
    <col customWidth="1" min="3" max="3" width="34.0"/>
    <col customWidth="1" min="4" max="4" width="11.0"/>
    <col customWidth="1" min="5" max="26" width="8.71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3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2"/>
      <c r="B7" s="2"/>
      <c r="C7" s="2"/>
      <c r="D7" s="2"/>
    </row>
    <row r="8">
      <c r="A8" s="3" t="s">
        <v>6</v>
      </c>
      <c r="B8" s="2"/>
      <c r="C8" s="2"/>
      <c r="D8" s="2"/>
    </row>
    <row r="9">
      <c r="A9" s="2"/>
      <c r="B9" s="2"/>
      <c r="C9" s="2"/>
      <c r="D9" s="2"/>
    </row>
    <row r="10">
      <c r="A10" s="4" t="s">
        <v>7</v>
      </c>
      <c r="B10" s="5"/>
      <c r="C10" s="2"/>
      <c r="D10" s="2"/>
    </row>
    <row r="11">
      <c r="A11" s="4" t="s">
        <v>8</v>
      </c>
      <c r="B11" s="6" t="s">
        <v>140</v>
      </c>
      <c r="C11" s="2"/>
      <c r="D11" s="2"/>
    </row>
    <row r="12">
      <c r="A12" s="4" t="s">
        <v>10</v>
      </c>
      <c r="B12" s="6">
        <v>2.02400155E8</v>
      </c>
      <c r="C12" s="2"/>
      <c r="D12" s="2"/>
    </row>
    <row r="13">
      <c r="A13" s="2"/>
      <c r="B13" s="2"/>
      <c r="C13" s="2"/>
      <c r="D13" s="2"/>
    </row>
    <row r="14" ht="25.5" customHeight="1">
      <c r="A14" s="8" t="s">
        <v>12</v>
      </c>
    </row>
    <row r="15" ht="25.5" customHeight="1">
      <c r="A15" s="8" t="s">
        <v>14</v>
      </c>
    </row>
    <row r="16" ht="25.5" customHeight="1">
      <c r="A16" s="8" t="s">
        <v>15</v>
      </c>
    </row>
    <row r="17">
      <c r="A17" s="2"/>
      <c r="B17" s="2"/>
      <c r="C17" s="2"/>
      <c r="D17" s="2"/>
    </row>
    <row r="18" ht="19.5" customHeight="1">
      <c r="A18" s="9" t="s">
        <v>16</v>
      </c>
      <c r="B18" s="9" t="s">
        <v>17</v>
      </c>
      <c r="C18" s="9" t="s">
        <v>18</v>
      </c>
      <c r="D18" s="9" t="s">
        <v>19</v>
      </c>
    </row>
    <row r="19" ht="19.5" customHeight="1">
      <c r="A19" s="10" t="s">
        <v>20</v>
      </c>
      <c r="B19" s="11">
        <f>B20+B25+B30</f>
        <v>25</v>
      </c>
      <c r="C19" s="10"/>
      <c r="D19" s="12">
        <f>D20+D25+D30</f>
        <v>23</v>
      </c>
    </row>
    <row r="20" ht="18.0" customHeight="1">
      <c r="A20" s="13" t="s">
        <v>21</v>
      </c>
      <c r="B20" s="14">
        <f>SUM(B21:B24)</f>
        <v>10</v>
      </c>
      <c r="C20" s="13"/>
      <c r="D20" s="15">
        <f>SUM(D21:D24)</f>
        <v>10</v>
      </c>
    </row>
    <row r="21" ht="15.0" customHeight="1">
      <c r="A21" s="16" t="s">
        <v>22</v>
      </c>
      <c r="B21" s="17">
        <v>3.0</v>
      </c>
      <c r="C21" s="18"/>
      <c r="D21" s="19">
        <v>3.0</v>
      </c>
    </row>
    <row r="22" ht="15.0" customHeight="1">
      <c r="A22" s="16" t="s">
        <v>23</v>
      </c>
      <c r="B22" s="17">
        <v>3.0</v>
      </c>
      <c r="C22" s="18"/>
      <c r="D22" s="19">
        <v>3.0</v>
      </c>
    </row>
    <row r="23" ht="15.0" customHeight="1">
      <c r="A23" s="16" t="s">
        <v>24</v>
      </c>
      <c r="B23" s="17">
        <v>2.0</v>
      </c>
      <c r="C23" s="18"/>
      <c r="D23" s="19">
        <v>2.0</v>
      </c>
    </row>
    <row r="24" ht="15.0" customHeight="1">
      <c r="A24" s="16" t="s">
        <v>25</v>
      </c>
      <c r="B24" s="17">
        <v>2.0</v>
      </c>
      <c r="C24" s="18"/>
      <c r="D24" s="19">
        <v>2.0</v>
      </c>
    </row>
    <row r="25" ht="18.0" customHeight="1">
      <c r="A25" s="13" t="s">
        <v>26</v>
      </c>
      <c r="B25" s="14">
        <f>SUM(B26:B29)</f>
        <v>10</v>
      </c>
      <c r="C25" s="13"/>
      <c r="D25" s="15">
        <f>SUM(D26:D29)</f>
        <v>10</v>
      </c>
    </row>
    <row r="26" ht="15.0" customHeight="1">
      <c r="A26" s="16" t="s">
        <v>27</v>
      </c>
      <c r="B26" s="17">
        <v>4.0</v>
      </c>
      <c r="C26" s="18"/>
      <c r="D26" s="19">
        <v>4.0</v>
      </c>
    </row>
    <row r="27" ht="15.0" customHeight="1">
      <c r="A27" s="16" t="s">
        <v>28</v>
      </c>
      <c r="B27" s="17">
        <v>2.0</v>
      </c>
      <c r="C27" s="18"/>
      <c r="D27" s="19">
        <v>2.0</v>
      </c>
    </row>
    <row r="28" ht="15.0" customHeight="1">
      <c r="A28" s="16" t="s">
        <v>29</v>
      </c>
      <c r="B28" s="17">
        <v>3.0</v>
      </c>
      <c r="C28" s="18"/>
      <c r="D28" s="19">
        <v>3.0</v>
      </c>
    </row>
    <row r="29" ht="15.0" customHeight="1">
      <c r="A29" s="16" t="s">
        <v>30</v>
      </c>
      <c r="B29" s="17">
        <v>1.0</v>
      </c>
      <c r="C29" s="18"/>
      <c r="D29" s="19">
        <v>1.0</v>
      </c>
    </row>
    <row r="30" ht="18.0" customHeight="1">
      <c r="A30" s="13" t="s">
        <v>31</v>
      </c>
      <c r="B30" s="14">
        <f>SUM(B31:B35)</f>
        <v>5</v>
      </c>
      <c r="C30" s="13"/>
      <c r="D30" s="15">
        <f>SUM(D31:D35)</f>
        <v>3</v>
      </c>
    </row>
    <row r="31" ht="15.0" customHeight="1">
      <c r="A31" s="16" t="s">
        <v>32</v>
      </c>
      <c r="B31" s="17">
        <v>1.0</v>
      </c>
      <c r="C31" s="18"/>
      <c r="D31" s="19">
        <v>0.0</v>
      </c>
    </row>
    <row r="32" ht="15.0" customHeight="1">
      <c r="A32" s="16" t="s">
        <v>33</v>
      </c>
      <c r="B32" s="17">
        <v>1.0</v>
      </c>
      <c r="C32" s="18"/>
      <c r="D32" s="19">
        <v>1.0</v>
      </c>
    </row>
    <row r="33" ht="15.0" customHeight="1">
      <c r="A33" s="16" t="s">
        <v>34</v>
      </c>
      <c r="B33" s="17">
        <v>1.0</v>
      </c>
      <c r="C33" s="18"/>
      <c r="D33" s="19">
        <v>1.0</v>
      </c>
    </row>
    <row r="34" ht="15.0" customHeight="1">
      <c r="A34" s="16" t="s">
        <v>35</v>
      </c>
      <c r="B34" s="17">
        <v>1.0</v>
      </c>
      <c r="C34" s="18"/>
      <c r="D34" s="19">
        <v>0.0</v>
      </c>
    </row>
    <row r="35" ht="15.0" customHeight="1">
      <c r="A35" s="16" t="s">
        <v>36</v>
      </c>
      <c r="B35" s="17">
        <v>1.0</v>
      </c>
      <c r="C35" s="18"/>
      <c r="D35" s="19">
        <v>1.0</v>
      </c>
    </row>
    <row r="36" ht="19.5" customHeight="1">
      <c r="A36" s="10" t="s">
        <v>37</v>
      </c>
      <c r="B36" s="11">
        <f>B37+B43+B55+B61+B67+B72+B78</f>
        <v>55</v>
      </c>
      <c r="C36" s="10"/>
      <c r="D36" s="12">
        <f>D37+D43+D55+D61+D67+D72+D78</f>
        <v>55</v>
      </c>
    </row>
    <row r="37" ht="18.0" customHeight="1">
      <c r="A37" s="13" t="s">
        <v>38</v>
      </c>
      <c r="B37" s="14">
        <f>SUM(B38:B42)</f>
        <v>5</v>
      </c>
      <c r="C37" s="13"/>
      <c r="D37" s="15">
        <f>SUM(D38:D42)</f>
        <v>5</v>
      </c>
    </row>
    <row r="38" ht="15.0" customHeight="1">
      <c r="A38" s="16" t="s">
        <v>39</v>
      </c>
      <c r="B38" s="17">
        <v>1.0</v>
      </c>
      <c r="C38" s="18"/>
      <c r="D38" s="19">
        <v>1.0</v>
      </c>
    </row>
    <row r="39" ht="15.0" customHeight="1">
      <c r="A39" s="16" t="s">
        <v>40</v>
      </c>
      <c r="B39" s="17">
        <v>1.0</v>
      </c>
      <c r="C39" s="18"/>
      <c r="D39" s="19">
        <v>1.0</v>
      </c>
    </row>
    <row r="40" ht="15.0" customHeight="1">
      <c r="A40" s="16" t="s">
        <v>41</v>
      </c>
      <c r="B40" s="17">
        <v>1.0</v>
      </c>
      <c r="C40" s="18"/>
      <c r="D40" s="19">
        <v>1.0</v>
      </c>
    </row>
    <row r="41" ht="15.0" customHeight="1">
      <c r="A41" s="16" t="s">
        <v>42</v>
      </c>
      <c r="B41" s="17">
        <v>1.0</v>
      </c>
      <c r="C41" s="18"/>
      <c r="D41" s="19">
        <v>1.0</v>
      </c>
    </row>
    <row r="42" ht="15.0" customHeight="1">
      <c r="A42" s="16" t="s">
        <v>43</v>
      </c>
      <c r="B42" s="17">
        <v>1.0</v>
      </c>
      <c r="C42" s="18"/>
      <c r="D42" s="19">
        <v>1.0</v>
      </c>
    </row>
    <row r="43" ht="18.0" customHeight="1">
      <c r="A43" s="13" t="s">
        <v>44</v>
      </c>
      <c r="B43" s="14">
        <f>SUM(B44:B54)</f>
        <v>15</v>
      </c>
      <c r="C43" s="13"/>
      <c r="D43" s="15">
        <f>SUM(D44:D54)</f>
        <v>15</v>
      </c>
    </row>
    <row r="44" ht="15.0" customHeight="1">
      <c r="A44" s="16" t="s">
        <v>45</v>
      </c>
      <c r="B44" s="17">
        <v>2.0</v>
      </c>
      <c r="C44" s="18"/>
      <c r="D44" s="19">
        <v>2.0</v>
      </c>
    </row>
    <row r="45" ht="15.0" customHeight="1">
      <c r="A45" s="16" t="s">
        <v>46</v>
      </c>
      <c r="B45" s="17">
        <v>1.0</v>
      </c>
      <c r="C45" s="18"/>
      <c r="D45" s="19">
        <v>1.0</v>
      </c>
    </row>
    <row r="46" ht="15.0" customHeight="1">
      <c r="A46" s="16" t="s">
        <v>47</v>
      </c>
      <c r="B46" s="17">
        <v>1.0</v>
      </c>
      <c r="C46" s="18"/>
      <c r="D46" s="19">
        <v>1.0</v>
      </c>
    </row>
    <row r="47" ht="15.0" customHeight="1">
      <c r="A47" s="16" t="s">
        <v>48</v>
      </c>
      <c r="B47" s="17">
        <v>1.0</v>
      </c>
      <c r="C47" s="18"/>
      <c r="D47" s="19">
        <v>1.0</v>
      </c>
    </row>
    <row r="48" ht="15.0" customHeight="1">
      <c r="A48" s="16" t="s">
        <v>49</v>
      </c>
      <c r="B48" s="17">
        <v>2.0</v>
      </c>
      <c r="C48" s="18"/>
      <c r="D48" s="19">
        <v>2.0</v>
      </c>
    </row>
    <row r="49" ht="15.0" customHeight="1">
      <c r="A49" s="16" t="s">
        <v>50</v>
      </c>
      <c r="B49" s="17">
        <v>2.0</v>
      </c>
      <c r="C49" s="18"/>
      <c r="D49" s="19">
        <v>2.0</v>
      </c>
    </row>
    <row r="50" ht="15.0" customHeight="1">
      <c r="A50" s="16" t="s">
        <v>51</v>
      </c>
      <c r="B50" s="17">
        <v>1.0</v>
      </c>
      <c r="C50" s="18"/>
      <c r="D50" s="19">
        <v>1.0</v>
      </c>
    </row>
    <row r="51" ht="15.0" customHeight="1">
      <c r="A51" s="16" t="s">
        <v>52</v>
      </c>
      <c r="B51" s="17">
        <v>1.0</v>
      </c>
      <c r="C51" s="18"/>
      <c r="D51" s="19">
        <v>1.0</v>
      </c>
    </row>
    <row r="52" ht="15.0" customHeight="1">
      <c r="A52" s="16" t="s">
        <v>53</v>
      </c>
      <c r="B52" s="17">
        <v>2.0</v>
      </c>
      <c r="C52" s="18"/>
      <c r="D52" s="19">
        <v>2.0</v>
      </c>
    </row>
    <row r="53" ht="15.0" customHeight="1">
      <c r="A53" s="16" t="s">
        <v>54</v>
      </c>
      <c r="B53" s="17">
        <v>1.0</v>
      </c>
      <c r="C53" s="18"/>
      <c r="D53" s="19">
        <v>1.0</v>
      </c>
    </row>
    <row r="54" ht="15.0" customHeight="1">
      <c r="A54" s="16" t="s">
        <v>55</v>
      </c>
      <c r="B54" s="17">
        <v>1.0</v>
      </c>
      <c r="C54" s="18"/>
      <c r="D54" s="19">
        <v>1.0</v>
      </c>
    </row>
    <row r="55" ht="18.0" customHeight="1">
      <c r="A55" s="13" t="s">
        <v>56</v>
      </c>
      <c r="B55" s="14">
        <f>SUM(B56:B60)</f>
        <v>8</v>
      </c>
      <c r="C55" s="13"/>
      <c r="D55" s="15">
        <f>SUM(D56:D60)</f>
        <v>8</v>
      </c>
    </row>
    <row r="56" ht="15.0" customHeight="1">
      <c r="A56" s="16" t="s">
        <v>57</v>
      </c>
      <c r="B56" s="17">
        <v>1.0</v>
      </c>
      <c r="C56" s="18"/>
      <c r="D56" s="19">
        <v>1.0</v>
      </c>
    </row>
    <row r="57" ht="15.0" customHeight="1">
      <c r="A57" s="16" t="s">
        <v>58</v>
      </c>
      <c r="B57" s="17">
        <v>2.0</v>
      </c>
      <c r="C57" s="18"/>
      <c r="D57" s="19">
        <v>2.0</v>
      </c>
    </row>
    <row r="58" ht="15.0" customHeight="1">
      <c r="A58" s="16" t="s">
        <v>59</v>
      </c>
      <c r="B58" s="17">
        <v>2.0</v>
      </c>
      <c r="C58" s="18"/>
      <c r="D58" s="19">
        <v>2.0</v>
      </c>
    </row>
    <row r="59" ht="15.0" customHeight="1">
      <c r="A59" s="16" t="s">
        <v>60</v>
      </c>
      <c r="B59" s="17">
        <v>2.0</v>
      </c>
      <c r="C59" s="18"/>
      <c r="D59" s="19">
        <v>2.0</v>
      </c>
    </row>
    <row r="60" ht="15.0" customHeight="1">
      <c r="A60" s="16" t="s">
        <v>61</v>
      </c>
      <c r="B60" s="17">
        <v>1.0</v>
      </c>
      <c r="C60" s="18"/>
      <c r="D60" s="19">
        <v>1.0</v>
      </c>
    </row>
    <row r="61" ht="18.0" customHeight="1">
      <c r="A61" s="13" t="s">
        <v>62</v>
      </c>
      <c r="B61" s="14">
        <f>SUM(B62:B66)</f>
        <v>8</v>
      </c>
      <c r="C61" s="13"/>
      <c r="D61" s="15">
        <f>SUM(D62:D66)</f>
        <v>8</v>
      </c>
    </row>
    <row r="62" ht="15.0" customHeight="1">
      <c r="A62" s="16" t="s">
        <v>63</v>
      </c>
      <c r="B62" s="17">
        <v>2.0</v>
      </c>
      <c r="C62" s="18"/>
      <c r="D62" s="19">
        <v>2.0</v>
      </c>
    </row>
    <row r="63" ht="15.0" customHeight="1">
      <c r="A63" s="16" t="s">
        <v>64</v>
      </c>
      <c r="B63" s="17">
        <v>2.0</v>
      </c>
      <c r="C63" s="18"/>
      <c r="D63" s="19">
        <v>2.0</v>
      </c>
    </row>
    <row r="64" ht="15.0" customHeight="1">
      <c r="A64" s="16" t="s">
        <v>65</v>
      </c>
      <c r="B64" s="17">
        <v>1.0</v>
      </c>
      <c r="C64" s="18"/>
      <c r="D64" s="19">
        <v>1.0</v>
      </c>
    </row>
    <row r="65" ht="15.0" customHeight="1">
      <c r="A65" s="16" t="s">
        <v>66</v>
      </c>
      <c r="B65" s="17">
        <v>2.0</v>
      </c>
      <c r="C65" s="18"/>
      <c r="D65" s="19">
        <v>2.0</v>
      </c>
    </row>
    <row r="66" ht="15.0" customHeight="1">
      <c r="A66" s="16" t="s">
        <v>67</v>
      </c>
      <c r="B66" s="17">
        <v>1.0</v>
      </c>
      <c r="C66" s="18"/>
      <c r="D66" s="19">
        <v>1.0</v>
      </c>
    </row>
    <row r="67" ht="18.0" customHeight="1">
      <c r="A67" s="13" t="s">
        <v>68</v>
      </c>
      <c r="B67" s="14">
        <f>SUM(B68:B71)</f>
        <v>5</v>
      </c>
      <c r="C67" s="13"/>
      <c r="D67" s="15">
        <f>SUM(D68:D71)</f>
        <v>5</v>
      </c>
    </row>
    <row r="68" ht="15.0" customHeight="1">
      <c r="A68" s="16" t="s">
        <v>69</v>
      </c>
      <c r="B68" s="17">
        <v>1.0</v>
      </c>
      <c r="C68" s="18"/>
      <c r="D68" s="19">
        <v>1.0</v>
      </c>
    </row>
    <row r="69" ht="15.0" customHeight="1">
      <c r="A69" s="16" t="s">
        <v>70</v>
      </c>
      <c r="B69" s="17">
        <v>2.0</v>
      </c>
      <c r="C69" s="18"/>
      <c r="D69" s="19">
        <v>2.0</v>
      </c>
    </row>
    <row r="70" ht="15.0" customHeight="1">
      <c r="A70" s="16" t="s">
        <v>71</v>
      </c>
      <c r="B70" s="17">
        <v>1.0</v>
      </c>
      <c r="C70" s="18"/>
      <c r="D70" s="19">
        <v>1.0</v>
      </c>
    </row>
    <row r="71" ht="15.0" customHeight="1">
      <c r="A71" s="16" t="s">
        <v>72</v>
      </c>
      <c r="B71" s="17">
        <v>1.0</v>
      </c>
      <c r="C71" s="18"/>
      <c r="D71" s="19">
        <v>1.0</v>
      </c>
    </row>
    <row r="72" ht="18.0" customHeight="1">
      <c r="A72" s="13" t="s">
        <v>73</v>
      </c>
      <c r="B72" s="14">
        <f>SUM(B73:B77)</f>
        <v>8</v>
      </c>
      <c r="C72" s="13"/>
      <c r="D72" s="15">
        <f>SUM(D73:D77)</f>
        <v>8</v>
      </c>
    </row>
    <row r="73" ht="15.0" customHeight="1">
      <c r="A73" s="16" t="s">
        <v>74</v>
      </c>
      <c r="B73" s="17">
        <v>2.0</v>
      </c>
      <c r="C73" s="18"/>
      <c r="D73" s="19">
        <v>2.0</v>
      </c>
    </row>
    <row r="74" ht="15.0" customHeight="1">
      <c r="A74" s="16" t="s">
        <v>75</v>
      </c>
      <c r="B74" s="17">
        <v>2.0</v>
      </c>
      <c r="C74" s="18"/>
      <c r="D74" s="19">
        <v>2.0</v>
      </c>
    </row>
    <row r="75" ht="15.0" customHeight="1">
      <c r="A75" s="16" t="s">
        <v>76</v>
      </c>
      <c r="B75" s="17">
        <v>1.0</v>
      </c>
      <c r="C75" s="18"/>
      <c r="D75" s="19">
        <v>1.0</v>
      </c>
    </row>
    <row r="76" ht="15.0" customHeight="1">
      <c r="A76" s="16" t="s">
        <v>77</v>
      </c>
      <c r="B76" s="17">
        <v>2.0</v>
      </c>
      <c r="C76" s="18"/>
      <c r="D76" s="19">
        <v>2.0</v>
      </c>
    </row>
    <row r="77" ht="15.0" customHeight="1">
      <c r="A77" s="16" t="s">
        <v>78</v>
      </c>
      <c r="B77" s="17">
        <v>1.0</v>
      </c>
      <c r="C77" s="18"/>
      <c r="D77" s="19">
        <v>1.0</v>
      </c>
    </row>
    <row r="78" ht="18.0" customHeight="1">
      <c r="A78" s="13" t="s">
        <v>79</v>
      </c>
      <c r="B78" s="14">
        <f>SUM(B79:B82)</f>
        <v>6</v>
      </c>
      <c r="C78" s="13"/>
      <c r="D78" s="15">
        <f>SUM(D79:D82)</f>
        <v>6</v>
      </c>
    </row>
    <row r="79" ht="15.0" customHeight="1">
      <c r="A79" s="16" t="s">
        <v>80</v>
      </c>
      <c r="B79" s="17">
        <v>2.0</v>
      </c>
      <c r="C79" s="18"/>
      <c r="D79" s="19">
        <v>2.0</v>
      </c>
    </row>
    <row r="80" ht="15.0" customHeight="1">
      <c r="A80" s="16" t="s">
        <v>81</v>
      </c>
      <c r="B80" s="17">
        <v>1.0</v>
      </c>
      <c r="C80" s="18"/>
      <c r="D80" s="19">
        <v>1.0</v>
      </c>
    </row>
    <row r="81" ht="15.0" customHeight="1">
      <c r="A81" s="16" t="s">
        <v>82</v>
      </c>
      <c r="B81" s="17">
        <v>2.0</v>
      </c>
      <c r="C81" s="18"/>
      <c r="D81" s="19">
        <v>2.0</v>
      </c>
    </row>
    <row r="82" ht="15.0" customHeight="1">
      <c r="A82" s="16" t="s">
        <v>83</v>
      </c>
      <c r="B82" s="17">
        <v>1.0</v>
      </c>
      <c r="C82" s="18"/>
      <c r="D82" s="19">
        <v>1.0</v>
      </c>
    </row>
    <row r="83" ht="19.5" customHeight="1">
      <c r="A83" s="10" t="s">
        <v>84</v>
      </c>
      <c r="B83" s="11">
        <f>B84+B87</f>
        <v>20</v>
      </c>
      <c r="C83" s="10"/>
      <c r="D83" s="12">
        <f>D84+D87</f>
        <v>0</v>
      </c>
    </row>
    <row r="84" ht="18.0" customHeight="1">
      <c r="A84" s="13" t="s">
        <v>85</v>
      </c>
      <c r="B84" s="14">
        <f>SUM(B85:B86)</f>
        <v>5</v>
      </c>
      <c r="C84" s="13"/>
      <c r="D84" s="15">
        <f>SUM(D85:D86)</f>
        <v>0</v>
      </c>
    </row>
    <row r="85" ht="15.0" customHeight="1">
      <c r="A85" s="16" t="s">
        <v>86</v>
      </c>
      <c r="B85" s="17">
        <v>2.5</v>
      </c>
      <c r="C85" s="18"/>
      <c r="D85" s="19">
        <v>0.0</v>
      </c>
    </row>
    <row r="86" ht="15.0" customHeight="1">
      <c r="A86" s="16" t="s">
        <v>87</v>
      </c>
      <c r="B86" s="17">
        <v>2.5</v>
      </c>
      <c r="C86" s="18"/>
      <c r="D86" s="19">
        <v>0.0</v>
      </c>
    </row>
    <row r="87" ht="18.0" customHeight="1">
      <c r="A87" s="13" t="s">
        <v>88</v>
      </c>
      <c r="B87" s="14">
        <f>SUM(B88:B90)</f>
        <v>15</v>
      </c>
      <c r="C87" s="13"/>
      <c r="D87" s="15">
        <f>SUM(D88:D90)</f>
        <v>0</v>
      </c>
    </row>
    <row r="88" ht="15.0" customHeight="1">
      <c r="A88" s="16" t="s">
        <v>89</v>
      </c>
      <c r="B88" s="17">
        <v>5.0</v>
      </c>
      <c r="C88" s="18"/>
      <c r="D88" s="19">
        <v>0.0</v>
      </c>
    </row>
    <row r="89" ht="15.0" customHeight="1">
      <c r="A89" s="16" t="s">
        <v>90</v>
      </c>
      <c r="B89" s="17">
        <v>5.0</v>
      </c>
      <c r="C89" s="18"/>
      <c r="D89" s="19">
        <v>0.0</v>
      </c>
    </row>
    <row r="90" ht="15.0" customHeight="1">
      <c r="A90" s="16" t="s">
        <v>91</v>
      </c>
      <c r="B90" s="17">
        <v>5.0</v>
      </c>
      <c r="C90" s="18"/>
      <c r="D90" s="19">
        <v>0.0</v>
      </c>
    </row>
    <row r="91" ht="19.5" customHeight="1">
      <c r="A91" s="21" t="s">
        <v>92</v>
      </c>
      <c r="B91" s="22">
        <f>B19+B36+B83</f>
        <v>100</v>
      </c>
      <c r="C91" s="23"/>
      <c r="D91" s="24">
        <f>D19+D36+D83</f>
        <v>78</v>
      </c>
    </row>
    <row r="92" ht="15.75" customHeight="1">
      <c r="A92" s="2"/>
      <c r="B92" s="2"/>
      <c r="C92" s="2"/>
      <c r="D92" s="2"/>
    </row>
    <row r="93" ht="15.75" customHeight="1">
      <c r="A93" s="1" t="s">
        <v>93</v>
      </c>
      <c r="B93" s="2"/>
      <c r="C93" s="2"/>
      <c r="D93" s="2"/>
    </row>
    <row r="94" ht="15.75" customHeight="1">
      <c r="A94" s="9" t="s">
        <v>94</v>
      </c>
      <c r="B94" s="9" t="s">
        <v>95</v>
      </c>
      <c r="C94" s="9" t="s">
        <v>18</v>
      </c>
      <c r="D94" s="9"/>
    </row>
    <row r="95" ht="15.75" customHeight="1">
      <c r="A95" s="16" t="s">
        <v>96</v>
      </c>
      <c r="B95" s="25" t="s">
        <v>97</v>
      </c>
      <c r="C95" s="26"/>
      <c r="D95" s="27"/>
    </row>
    <row r="96" ht="15.75" customHeight="1">
      <c r="A96" s="16" t="s">
        <v>98</v>
      </c>
      <c r="B96" s="25" t="s">
        <v>97</v>
      </c>
      <c r="C96" s="26"/>
      <c r="D96" s="27"/>
    </row>
    <row r="97" ht="15.75" customHeight="1">
      <c r="A97" s="16" t="s">
        <v>99</v>
      </c>
      <c r="B97" s="25" t="s">
        <v>97</v>
      </c>
      <c r="C97" s="26"/>
      <c r="D97" s="27"/>
    </row>
    <row r="98" ht="15.75" customHeight="1">
      <c r="A98" s="16" t="s">
        <v>100</v>
      </c>
      <c r="B98" s="25" t="s">
        <v>97</v>
      </c>
      <c r="C98" s="26"/>
      <c r="D98" s="27"/>
    </row>
    <row r="99" ht="15.75" customHeight="1">
      <c r="A99" s="16" t="s">
        <v>101</v>
      </c>
      <c r="B99" s="25" t="s">
        <v>97</v>
      </c>
      <c r="C99" s="26"/>
      <c r="D99" s="27"/>
    </row>
    <row r="100" ht="15.75" customHeight="1">
      <c r="A100" s="16" t="s">
        <v>102</v>
      </c>
      <c r="B100" s="25" t="s">
        <v>97</v>
      </c>
      <c r="C100" s="26"/>
      <c r="D100" s="27"/>
    </row>
    <row r="101" ht="15.75" customHeight="1">
      <c r="A101" s="2"/>
      <c r="B101" s="2"/>
      <c r="C101" s="2"/>
      <c r="D101" s="2"/>
    </row>
    <row r="102" ht="15.75" customHeight="1">
      <c r="A102" s="1" t="s">
        <v>103</v>
      </c>
      <c r="B102" s="2"/>
      <c r="C102" s="2"/>
      <c r="D102" s="2"/>
    </row>
    <row r="103" ht="15.75" customHeight="1">
      <c r="A103" s="9" t="s">
        <v>104</v>
      </c>
      <c r="B103" s="9" t="s">
        <v>105</v>
      </c>
      <c r="C103" s="9" t="s">
        <v>106</v>
      </c>
      <c r="D103" s="9" t="s">
        <v>107</v>
      </c>
    </row>
    <row r="104" ht="15.75" customHeight="1">
      <c r="A104" s="16" t="s">
        <v>108</v>
      </c>
      <c r="B104" s="28">
        <v>-0.3</v>
      </c>
      <c r="C104" s="25" t="s">
        <v>109</v>
      </c>
      <c r="D104" s="29">
        <f t="shared" ref="D104:D118" si="1">IF(C104="Sí",$D$91*B104,0)</f>
        <v>0</v>
      </c>
    </row>
    <row r="105" ht="15.75" customHeight="1">
      <c r="A105" s="16" t="s">
        <v>110</v>
      </c>
      <c r="B105" s="28">
        <v>-0.2</v>
      </c>
      <c r="C105" s="25" t="s">
        <v>109</v>
      </c>
      <c r="D105" s="29">
        <f t="shared" si="1"/>
        <v>0</v>
      </c>
    </row>
    <row r="106" ht="15.75" customHeight="1">
      <c r="A106" s="16" t="s">
        <v>111</v>
      </c>
      <c r="B106" s="28">
        <v>-1.0</v>
      </c>
      <c r="C106" s="25" t="s">
        <v>109</v>
      </c>
      <c r="D106" s="29">
        <f t="shared" si="1"/>
        <v>0</v>
      </c>
    </row>
    <row r="107" ht="15.75" customHeight="1">
      <c r="A107" s="16" t="s">
        <v>112</v>
      </c>
      <c r="B107" s="28">
        <v>-1.0</v>
      </c>
      <c r="C107" s="25" t="s">
        <v>109</v>
      </c>
      <c r="D107" s="29">
        <f t="shared" si="1"/>
        <v>0</v>
      </c>
    </row>
    <row r="108" ht="15.75" customHeight="1">
      <c r="A108" s="16" t="s">
        <v>113</v>
      </c>
      <c r="B108" s="28">
        <v>-0.75</v>
      </c>
      <c r="C108" s="25" t="s">
        <v>109</v>
      </c>
      <c r="D108" s="29">
        <f t="shared" si="1"/>
        <v>0</v>
      </c>
    </row>
    <row r="109" ht="15.75" customHeight="1">
      <c r="A109" s="16" t="s">
        <v>114</v>
      </c>
      <c r="B109" s="28">
        <v>-0.75</v>
      </c>
      <c r="C109" s="25" t="s">
        <v>109</v>
      </c>
      <c r="D109" s="29">
        <f t="shared" si="1"/>
        <v>0</v>
      </c>
    </row>
    <row r="110" ht="15.75" customHeight="1">
      <c r="A110" s="16" t="s">
        <v>115</v>
      </c>
      <c r="B110" s="28">
        <v>-0.9</v>
      </c>
      <c r="C110" s="25" t="s">
        <v>109</v>
      </c>
      <c r="D110" s="29">
        <f t="shared" si="1"/>
        <v>0</v>
      </c>
    </row>
    <row r="111" ht="15.75" customHeight="1">
      <c r="A111" s="16" t="s">
        <v>116</v>
      </c>
      <c r="B111" s="28">
        <v>-0.5</v>
      </c>
      <c r="C111" s="25" t="s">
        <v>109</v>
      </c>
      <c r="D111" s="29">
        <f t="shared" si="1"/>
        <v>0</v>
      </c>
    </row>
    <row r="112" ht="15.75" customHeight="1">
      <c r="A112" s="16" t="s">
        <v>117</v>
      </c>
      <c r="B112" s="28">
        <v>-0.5</v>
      </c>
      <c r="C112" s="25" t="s">
        <v>109</v>
      </c>
      <c r="D112" s="29">
        <f t="shared" si="1"/>
        <v>0</v>
      </c>
    </row>
    <row r="113" ht="15.75" customHeight="1">
      <c r="A113" s="16" t="s">
        <v>118</v>
      </c>
      <c r="B113" s="28">
        <v>-1.0</v>
      </c>
      <c r="C113" s="25" t="s">
        <v>109</v>
      </c>
      <c r="D113" s="29">
        <f t="shared" si="1"/>
        <v>0</v>
      </c>
    </row>
    <row r="114" ht="15.75" customHeight="1">
      <c r="A114" s="16" t="s">
        <v>119</v>
      </c>
      <c r="B114" s="28">
        <v>-0.25</v>
      </c>
      <c r="C114" s="25" t="s">
        <v>109</v>
      </c>
      <c r="D114" s="29">
        <f t="shared" si="1"/>
        <v>0</v>
      </c>
    </row>
    <row r="115" ht="15.75" customHeight="1">
      <c r="A115" s="16" t="s">
        <v>120</v>
      </c>
      <c r="B115" s="28">
        <v>-1.0</v>
      </c>
      <c r="C115" s="25" t="s">
        <v>109</v>
      </c>
      <c r="D115" s="29">
        <f t="shared" si="1"/>
        <v>0</v>
      </c>
    </row>
    <row r="116" ht="15.75" customHeight="1">
      <c r="A116" s="16" t="s">
        <v>121</v>
      </c>
      <c r="B116" s="28">
        <v>-1.0</v>
      </c>
      <c r="C116" s="25" t="s">
        <v>109</v>
      </c>
      <c r="D116" s="29">
        <f t="shared" si="1"/>
        <v>0</v>
      </c>
    </row>
    <row r="117" ht="15.75" customHeight="1">
      <c r="A117" s="16" t="s">
        <v>122</v>
      </c>
      <c r="B117" s="28">
        <v>-0.5</v>
      </c>
      <c r="C117" s="25" t="s">
        <v>109</v>
      </c>
      <c r="D117" s="29">
        <f t="shared" si="1"/>
        <v>0</v>
      </c>
    </row>
    <row r="118" ht="15.75" customHeight="1">
      <c r="A118" s="16" t="s">
        <v>123</v>
      </c>
      <c r="B118" s="28">
        <v>-1.0</v>
      </c>
      <c r="C118" s="25" t="s">
        <v>109</v>
      </c>
      <c r="D118" s="29">
        <f t="shared" si="1"/>
        <v>0</v>
      </c>
    </row>
    <row r="119" ht="15.75" customHeight="1">
      <c r="A119" s="21" t="s">
        <v>124</v>
      </c>
      <c r="B119" s="23"/>
      <c r="C119" s="23"/>
      <c r="D119" s="24">
        <f>SUM(D104:D118)</f>
        <v>0</v>
      </c>
    </row>
    <row r="120" ht="15.75" customHeight="1">
      <c r="A120" s="2"/>
      <c r="B120" s="2"/>
      <c r="C120" s="2"/>
      <c r="D120" s="2"/>
    </row>
    <row r="121" ht="21.75" customHeight="1">
      <c r="A121" s="31" t="s">
        <v>125</v>
      </c>
      <c r="B121" s="32"/>
      <c r="C121" s="32"/>
      <c r="D121" s="33">
        <f>MAX(0,ROUND($D$91+$D$119,2))</f>
        <v>78</v>
      </c>
    </row>
    <row r="122" ht="15.75" customHeight="1">
      <c r="A122" s="2"/>
      <c r="B122" s="2"/>
      <c r="C122" s="2"/>
      <c r="D122" s="2"/>
    </row>
    <row r="123" ht="15.75" customHeight="1">
      <c r="A123" s="4" t="s">
        <v>126</v>
      </c>
      <c r="B123" s="2"/>
      <c r="C123" s="2"/>
      <c r="D123" s="2"/>
    </row>
    <row r="124" ht="18.0" customHeight="1">
      <c r="A124" s="34"/>
      <c r="B124" s="35"/>
      <c r="C124" s="35"/>
      <c r="D124" s="36"/>
    </row>
    <row r="125" ht="18.0" customHeight="1">
      <c r="A125" s="34"/>
      <c r="B125" s="35"/>
      <c r="C125" s="35"/>
      <c r="D125" s="36"/>
    </row>
    <row r="126" ht="18.0" customHeight="1">
      <c r="A126" s="34"/>
      <c r="B126" s="35"/>
      <c r="C126" s="35"/>
      <c r="D126" s="36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37" t="s">
        <v>127</v>
      </c>
      <c r="B129" s="2"/>
      <c r="C129" s="37" t="s">
        <v>127</v>
      </c>
      <c r="D129" s="2"/>
    </row>
    <row r="130" ht="15.75" customHeight="1">
      <c r="A130" s="37" t="s">
        <v>128</v>
      </c>
      <c r="B130" s="2"/>
      <c r="C130" s="37" t="s">
        <v>129</v>
      </c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mergeCells count="6">
    <mergeCell ref="A14:D14"/>
    <mergeCell ref="A15:D15"/>
    <mergeCell ref="A16:D16"/>
    <mergeCell ref="A124:D124"/>
    <mergeCell ref="A125:D125"/>
    <mergeCell ref="A126:D126"/>
  </mergeCells>
  <conditionalFormatting sqref="D19:D90">
    <cfRule type="cellIs" dxfId="0" priority="1" operator="greaterThan">
      <formula>B19</formula>
    </cfRule>
  </conditionalFormatting>
  <dataValidations>
    <dataValidation type="list" allowBlank="1" sqref="B95:B100 C104:C118">
      <formula1>"Sí,No"</formula1>
    </dataValidation>
  </dataValidations>
  <printOptions horizontalCentered="1"/>
  <pageMargins bottom="1.0" footer="0.0" header="0.0" left="0.75" right="0.75" top="1.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8.0" topLeftCell="A19" activePane="bottomLeft" state="frozen"/>
      <selection activeCell="B20" sqref="B20" pane="bottomLeft"/>
    </sheetView>
  </sheetViews>
  <sheetFormatPr customHeight="1" defaultColWidth="14.43" defaultRowHeight="15.0"/>
  <cols>
    <col customWidth="1" min="1" max="1" width="78.0"/>
    <col customWidth="1" min="2" max="2" width="11.0"/>
    <col customWidth="1" min="3" max="3" width="34.0"/>
    <col customWidth="1" min="4" max="4" width="11.0"/>
    <col customWidth="1" min="5" max="26" width="8.71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3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2"/>
      <c r="B7" s="2"/>
      <c r="C7" s="2"/>
      <c r="D7" s="2"/>
    </row>
    <row r="8">
      <c r="A8" s="3" t="s">
        <v>6</v>
      </c>
      <c r="B8" s="2"/>
      <c r="C8" s="2"/>
      <c r="D8" s="2"/>
    </row>
    <row r="9">
      <c r="A9" s="2"/>
      <c r="B9" s="2"/>
      <c r="C9" s="2"/>
      <c r="D9" s="2"/>
    </row>
    <row r="10">
      <c r="A10" s="4" t="s">
        <v>7</v>
      </c>
      <c r="B10" s="5"/>
      <c r="C10" s="2"/>
      <c r="D10" s="2"/>
    </row>
    <row r="11">
      <c r="A11" s="4" t="s">
        <v>8</v>
      </c>
      <c r="B11" s="6" t="s">
        <v>141</v>
      </c>
      <c r="C11" s="2"/>
      <c r="D11" s="2"/>
    </row>
    <row r="12">
      <c r="A12" s="4" t="s">
        <v>10</v>
      </c>
      <c r="B12" s="6">
        <v>2.0250583E8</v>
      </c>
      <c r="C12" s="2"/>
      <c r="D12" s="2"/>
    </row>
    <row r="13">
      <c r="A13" s="2"/>
      <c r="B13" s="2"/>
      <c r="C13" s="2"/>
      <c r="D13" s="2"/>
    </row>
    <row r="14" ht="25.5" customHeight="1">
      <c r="A14" s="8" t="s">
        <v>12</v>
      </c>
    </row>
    <row r="15" ht="25.5" customHeight="1">
      <c r="A15" s="8" t="s">
        <v>14</v>
      </c>
    </row>
    <row r="16" ht="25.5" customHeight="1">
      <c r="A16" s="8" t="s">
        <v>15</v>
      </c>
    </row>
    <row r="17">
      <c r="A17" s="2"/>
      <c r="B17" s="2"/>
      <c r="C17" s="2"/>
      <c r="D17" s="2"/>
    </row>
    <row r="18" ht="19.5" customHeight="1">
      <c r="A18" s="9" t="s">
        <v>16</v>
      </c>
      <c r="B18" s="9" t="s">
        <v>17</v>
      </c>
      <c r="C18" s="9" t="s">
        <v>18</v>
      </c>
      <c r="D18" s="9" t="s">
        <v>19</v>
      </c>
    </row>
    <row r="19" ht="19.5" customHeight="1">
      <c r="A19" s="10" t="s">
        <v>20</v>
      </c>
      <c r="B19" s="11">
        <f>B20+B25+B30</f>
        <v>25</v>
      </c>
      <c r="C19" s="10"/>
      <c r="D19" s="12">
        <f>D20+D25+D30</f>
        <v>25</v>
      </c>
    </row>
    <row r="20" ht="18.0" customHeight="1">
      <c r="A20" s="13" t="s">
        <v>21</v>
      </c>
      <c r="B20" s="14">
        <f>SUM(B21:B24)</f>
        <v>10</v>
      </c>
      <c r="C20" s="13"/>
      <c r="D20" s="15">
        <f>SUM(D21:D24)</f>
        <v>10</v>
      </c>
    </row>
    <row r="21" ht="15.0" customHeight="1">
      <c r="A21" s="16" t="s">
        <v>22</v>
      </c>
      <c r="B21" s="17">
        <v>3.0</v>
      </c>
      <c r="C21" s="18"/>
      <c r="D21" s="19">
        <v>3.0</v>
      </c>
    </row>
    <row r="22" ht="15.0" customHeight="1">
      <c r="A22" s="16" t="s">
        <v>23</v>
      </c>
      <c r="B22" s="17">
        <v>3.0</v>
      </c>
      <c r="C22" s="18"/>
      <c r="D22" s="19">
        <v>3.0</v>
      </c>
    </row>
    <row r="23" ht="15.0" customHeight="1">
      <c r="A23" s="16" t="s">
        <v>24</v>
      </c>
      <c r="B23" s="17">
        <v>2.0</v>
      </c>
      <c r="C23" s="18"/>
      <c r="D23" s="19">
        <v>2.0</v>
      </c>
    </row>
    <row r="24" ht="15.0" customHeight="1">
      <c r="A24" s="16" t="s">
        <v>25</v>
      </c>
      <c r="B24" s="17">
        <v>2.0</v>
      </c>
      <c r="C24" s="18"/>
      <c r="D24" s="19">
        <v>2.0</v>
      </c>
    </row>
    <row r="25" ht="18.0" customHeight="1">
      <c r="A25" s="13" t="s">
        <v>26</v>
      </c>
      <c r="B25" s="14">
        <f>SUM(B26:B29)</f>
        <v>10</v>
      </c>
      <c r="C25" s="13"/>
      <c r="D25" s="15">
        <f>SUM(D26:D29)</f>
        <v>10</v>
      </c>
    </row>
    <row r="26" ht="15.0" customHeight="1">
      <c r="A26" s="16" t="s">
        <v>27</v>
      </c>
      <c r="B26" s="17">
        <v>4.0</v>
      </c>
      <c r="C26" s="18"/>
      <c r="D26" s="19">
        <v>4.0</v>
      </c>
    </row>
    <row r="27" ht="15.0" customHeight="1">
      <c r="A27" s="16" t="s">
        <v>28</v>
      </c>
      <c r="B27" s="17">
        <v>2.0</v>
      </c>
      <c r="C27" s="18"/>
      <c r="D27" s="19">
        <v>2.0</v>
      </c>
    </row>
    <row r="28" ht="15.0" customHeight="1">
      <c r="A28" s="16" t="s">
        <v>29</v>
      </c>
      <c r="B28" s="17">
        <v>3.0</v>
      </c>
      <c r="C28" s="18"/>
      <c r="D28" s="19">
        <v>3.0</v>
      </c>
    </row>
    <row r="29" ht="15.0" customHeight="1">
      <c r="A29" s="16" t="s">
        <v>30</v>
      </c>
      <c r="B29" s="17">
        <v>1.0</v>
      </c>
      <c r="C29" s="18"/>
      <c r="D29" s="19">
        <v>1.0</v>
      </c>
    </row>
    <row r="30" ht="18.0" customHeight="1">
      <c r="A30" s="13" t="s">
        <v>31</v>
      </c>
      <c r="B30" s="14">
        <f>SUM(B31:B35)</f>
        <v>5</v>
      </c>
      <c r="C30" s="13"/>
      <c r="D30" s="15">
        <f>SUM(D31:D35)</f>
        <v>5</v>
      </c>
    </row>
    <row r="31" ht="15.0" customHeight="1">
      <c r="A31" s="16" t="s">
        <v>32</v>
      </c>
      <c r="B31" s="17">
        <v>1.0</v>
      </c>
      <c r="C31" s="18"/>
      <c r="D31" s="19">
        <v>1.0</v>
      </c>
    </row>
    <row r="32" ht="15.0" customHeight="1">
      <c r="A32" s="16" t="s">
        <v>33</v>
      </c>
      <c r="B32" s="17">
        <v>1.0</v>
      </c>
      <c r="C32" s="18"/>
      <c r="D32" s="19">
        <v>1.0</v>
      </c>
    </row>
    <row r="33" ht="15.0" customHeight="1">
      <c r="A33" s="16" t="s">
        <v>34</v>
      </c>
      <c r="B33" s="17">
        <v>1.0</v>
      </c>
      <c r="C33" s="18"/>
      <c r="D33" s="19">
        <v>1.0</v>
      </c>
    </row>
    <row r="34" ht="15.0" customHeight="1">
      <c r="A34" s="16" t="s">
        <v>35</v>
      </c>
      <c r="B34" s="17">
        <v>1.0</v>
      </c>
      <c r="C34" s="18"/>
      <c r="D34" s="19">
        <v>1.0</v>
      </c>
    </row>
    <row r="35" ht="15.0" customHeight="1">
      <c r="A35" s="16" t="s">
        <v>36</v>
      </c>
      <c r="B35" s="17">
        <v>1.0</v>
      </c>
      <c r="C35" s="18"/>
      <c r="D35" s="19">
        <v>1.0</v>
      </c>
    </row>
    <row r="36" ht="19.5" customHeight="1">
      <c r="A36" s="10" t="s">
        <v>37</v>
      </c>
      <c r="B36" s="11">
        <f>B37+B43+B55+B61+B67+B72+B78</f>
        <v>55</v>
      </c>
      <c r="C36" s="10"/>
      <c r="D36" s="12">
        <f>D37+D43+D55+D61+D67+D72+D78</f>
        <v>53</v>
      </c>
    </row>
    <row r="37" ht="18.0" customHeight="1">
      <c r="A37" s="13" t="s">
        <v>38</v>
      </c>
      <c r="B37" s="14">
        <f>SUM(B38:B42)</f>
        <v>5</v>
      </c>
      <c r="C37" s="13"/>
      <c r="D37" s="15">
        <f>SUM(D38:D42)</f>
        <v>5</v>
      </c>
    </row>
    <row r="38" ht="15.0" customHeight="1">
      <c r="A38" s="16" t="s">
        <v>39</v>
      </c>
      <c r="B38" s="17">
        <v>1.0</v>
      </c>
      <c r="C38" s="18"/>
      <c r="D38" s="19">
        <v>1.0</v>
      </c>
    </row>
    <row r="39" ht="15.0" customHeight="1">
      <c r="A39" s="16" t="s">
        <v>40</v>
      </c>
      <c r="B39" s="17">
        <v>1.0</v>
      </c>
      <c r="C39" s="18"/>
      <c r="D39" s="19">
        <v>1.0</v>
      </c>
    </row>
    <row r="40" ht="15.0" customHeight="1">
      <c r="A40" s="16" t="s">
        <v>41</v>
      </c>
      <c r="B40" s="17">
        <v>1.0</v>
      </c>
      <c r="C40" s="18"/>
      <c r="D40" s="19">
        <v>1.0</v>
      </c>
    </row>
    <row r="41" ht="15.0" customHeight="1">
      <c r="A41" s="16" t="s">
        <v>42</v>
      </c>
      <c r="B41" s="17">
        <v>1.0</v>
      </c>
      <c r="C41" s="18"/>
      <c r="D41" s="19">
        <v>1.0</v>
      </c>
    </row>
    <row r="42" ht="15.0" customHeight="1">
      <c r="A42" s="16" t="s">
        <v>43</v>
      </c>
      <c r="B42" s="17">
        <v>1.0</v>
      </c>
      <c r="C42" s="18"/>
      <c r="D42" s="19">
        <v>1.0</v>
      </c>
    </row>
    <row r="43" ht="18.0" customHeight="1">
      <c r="A43" s="13" t="s">
        <v>44</v>
      </c>
      <c r="B43" s="14">
        <f>SUM(B44:B54)</f>
        <v>15</v>
      </c>
      <c r="C43" s="13"/>
      <c r="D43" s="15">
        <f>SUM(D44:D54)</f>
        <v>13</v>
      </c>
    </row>
    <row r="44" ht="15.0" customHeight="1">
      <c r="A44" s="16" t="s">
        <v>45</v>
      </c>
      <c r="B44" s="17">
        <v>2.0</v>
      </c>
      <c r="C44" s="18"/>
      <c r="D44" s="19">
        <v>2.0</v>
      </c>
    </row>
    <row r="45" ht="15.0" customHeight="1">
      <c r="A45" s="16" t="s">
        <v>46</v>
      </c>
      <c r="B45" s="17">
        <v>1.0</v>
      </c>
      <c r="C45" s="18"/>
      <c r="D45" s="19">
        <v>1.0</v>
      </c>
    </row>
    <row r="46" ht="15.0" customHeight="1">
      <c r="A46" s="16" t="s">
        <v>47</v>
      </c>
      <c r="B46" s="17">
        <v>1.0</v>
      </c>
      <c r="C46" s="18"/>
      <c r="D46" s="19">
        <v>1.0</v>
      </c>
    </row>
    <row r="47" ht="15.0" customHeight="1">
      <c r="A47" s="16" t="s">
        <v>48</v>
      </c>
      <c r="B47" s="17">
        <v>1.0</v>
      </c>
      <c r="C47" s="18"/>
      <c r="D47" s="19">
        <v>1.0</v>
      </c>
    </row>
    <row r="48" ht="15.0" customHeight="1">
      <c r="A48" s="16" t="s">
        <v>49</v>
      </c>
      <c r="B48" s="17">
        <v>2.0</v>
      </c>
      <c r="C48" s="18"/>
      <c r="D48" s="19">
        <v>2.0</v>
      </c>
    </row>
    <row r="49" ht="15.0" customHeight="1">
      <c r="A49" s="16" t="s">
        <v>50</v>
      </c>
      <c r="B49" s="17">
        <v>2.0</v>
      </c>
      <c r="C49" s="18"/>
      <c r="D49" s="19">
        <v>0.0</v>
      </c>
    </row>
    <row r="50" ht="15.0" customHeight="1">
      <c r="A50" s="16" t="s">
        <v>51</v>
      </c>
      <c r="B50" s="17">
        <v>1.0</v>
      </c>
      <c r="C50" s="18"/>
      <c r="D50" s="19">
        <v>1.0</v>
      </c>
    </row>
    <row r="51" ht="15.0" customHeight="1">
      <c r="A51" s="16" t="s">
        <v>52</v>
      </c>
      <c r="B51" s="17">
        <v>1.0</v>
      </c>
      <c r="C51" s="18"/>
      <c r="D51" s="19">
        <v>1.0</v>
      </c>
    </row>
    <row r="52" ht="15.0" customHeight="1">
      <c r="A52" s="16" t="s">
        <v>53</v>
      </c>
      <c r="B52" s="17">
        <v>2.0</v>
      </c>
      <c r="C52" s="18"/>
      <c r="D52" s="19">
        <v>2.0</v>
      </c>
    </row>
    <row r="53" ht="15.0" customHeight="1">
      <c r="A53" s="16" t="s">
        <v>54</v>
      </c>
      <c r="B53" s="17">
        <v>1.0</v>
      </c>
      <c r="C53" s="18"/>
      <c r="D53" s="19">
        <v>1.0</v>
      </c>
    </row>
    <row r="54" ht="15.0" customHeight="1">
      <c r="A54" s="16" t="s">
        <v>55</v>
      </c>
      <c r="B54" s="17">
        <v>1.0</v>
      </c>
      <c r="C54" s="18"/>
      <c r="D54" s="19">
        <v>1.0</v>
      </c>
    </row>
    <row r="55" ht="18.0" customHeight="1">
      <c r="A55" s="13" t="s">
        <v>56</v>
      </c>
      <c r="B55" s="14">
        <f>SUM(B56:B60)</f>
        <v>8</v>
      </c>
      <c r="C55" s="13"/>
      <c r="D55" s="15">
        <f>SUM(D56:D60)</f>
        <v>8</v>
      </c>
    </row>
    <row r="56" ht="15.0" customHeight="1">
      <c r="A56" s="16" t="s">
        <v>57</v>
      </c>
      <c r="B56" s="17">
        <v>1.0</v>
      </c>
      <c r="C56" s="18"/>
      <c r="D56" s="19">
        <v>1.0</v>
      </c>
    </row>
    <row r="57" ht="15.0" customHeight="1">
      <c r="A57" s="16" t="s">
        <v>58</v>
      </c>
      <c r="B57" s="17">
        <v>2.0</v>
      </c>
      <c r="C57" s="18"/>
      <c r="D57" s="19">
        <v>2.0</v>
      </c>
    </row>
    <row r="58" ht="15.0" customHeight="1">
      <c r="A58" s="16" t="s">
        <v>59</v>
      </c>
      <c r="B58" s="17">
        <v>2.0</v>
      </c>
      <c r="C58" s="18"/>
      <c r="D58" s="19">
        <v>2.0</v>
      </c>
    </row>
    <row r="59" ht="15.0" customHeight="1">
      <c r="A59" s="16" t="s">
        <v>60</v>
      </c>
      <c r="B59" s="17">
        <v>2.0</v>
      </c>
      <c r="C59" s="18"/>
      <c r="D59" s="19">
        <v>2.0</v>
      </c>
    </row>
    <row r="60" ht="15.0" customHeight="1">
      <c r="A60" s="16" t="s">
        <v>61</v>
      </c>
      <c r="B60" s="17">
        <v>1.0</v>
      </c>
      <c r="C60" s="18"/>
      <c r="D60" s="19">
        <v>1.0</v>
      </c>
    </row>
    <row r="61" ht="18.0" customHeight="1">
      <c r="A61" s="13" t="s">
        <v>62</v>
      </c>
      <c r="B61" s="14">
        <f>SUM(B62:B66)</f>
        <v>8</v>
      </c>
      <c r="C61" s="13"/>
      <c r="D61" s="15">
        <f>SUM(D62:D66)</f>
        <v>8</v>
      </c>
    </row>
    <row r="62" ht="15.0" customHeight="1">
      <c r="A62" s="16" t="s">
        <v>63</v>
      </c>
      <c r="B62" s="17">
        <v>2.0</v>
      </c>
      <c r="C62" s="18"/>
      <c r="D62" s="19">
        <v>2.0</v>
      </c>
    </row>
    <row r="63" ht="15.0" customHeight="1">
      <c r="A63" s="16" t="s">
        <v>64</v>
      </c>
      <c r="B63" s="17">
        <v>2.0</v>
      </c>
      <c r="C63" s="18"/>
      <c r="D63" s="19">
        <v>2.0</v>
      </c>
    </row>
    <row r="64" ht="15.0" customHeight="1">
      <c r="A64" s="16" t="s">
        <v>65</v>
      </c>
      <c r="B64" s="17">
        <v>1.0</v>
      </c>
      <c r="C64" s="18"/>
      <c r="D64" s="19">
        <v>1.0</v>
      </c>
    </row>
    <row r="65" ht="15.0" customHeight="1">
      <c r="A65" s="16" t="s">
        <v>66</v>
      </c>
      <c r="B65" s="17">
        <v>2.0</v>
      </c>
      <c r="C65" s="18"/>
      <c r="D65" s="19">
        <v>2.0</v>
      </c>
    </row>
    <row r="66" ht="15.0" customHeight="1">
      <c r="A66" s="16" t="s">
        <v>67</v>
      </c>
      <c r="B66" s="17">
        <v>1.0</v>
      </c>
      <c r="C66" s="18"/>
      <c r="D66" s="19">
        <v>1.0</v>
      </c>
    </row>
    <row r="67" ht="18.0" customHeight="1">
      <c r="A67" s="13" t="s">
        <v>68</v>
      </c>
      <c r="B67" s="14">
        <f>SUM(B68:B71)</f>
        <v>5</v>
      </c>
      <c r="C67" s="13"/>
      <c r="D67" s="15">
        <f>SUM(D68:D71)</f>
        <v>5</v>
      </c>
    </row>
    <row r="68" ht="15.0" customHeight="1">
      <c r="A68" s="16" t="s">
        <v>69</v>
      </c>
      <c r="B68" s="17">
        <v>1.0</v>
      </c>
      <c r="C68" s="18"/>
      <c r="D68" s="19">
        <v>1.0</v>
      </c>
    </row>
    <row r="69" ht="15.0" customHeight="1">
      <c r="A69" s="16" t="s">
        <v>70</v>
      </c>
      <c r="B69" s="17">
        <v>2.0</v>
      </c>
      <c r="C69" s="18"/>
      <c r="D69" s="19">
        <v>2.0</v>
      </c>
    </row>
    <row r="70" ht="15.0" customHeight="1">
      <c r="A70" s="16" t="s">
        <v>71</v>
      </c>
      <c r="B70" s="17">
        <v>1.0</v>
      </c>
      <c r="C70" s="18"/>
      <c r="D70" s="19">
        <v>1.0</v>
      </c>
    </row>
    <row r="71" ht="15.0" customHeight="1">
      <c r="A71" s="16" t="s">
        <v>72</v>
      </c>
      <c r="B71" s="17">
        <v>1.0</v>
      </c>
      <c r="C71" s="18"/>
      <c r="D71" s="19">
        <v>1.0</v>
      </c>
    </row>
    <row r="72" ht="18.0" customHeight="1">
      <c r="A72" s="13" t="s">
        <v>73</v>
      </c>
      <c r="B72" s="14">
        <f>SUM(B73:B77)</f>
        <v>8</v>
      </c>
      <c r="C72" s="13"/>
      <c r="D72" s="15">
        <f>SUM(D73:D77)</f>
        <v>8</v>
      </c>
    </row>
    <row r="73" ht="15.0" customHeight="1">
      <c r="A73" s="16" t="s">
        <v>74</v>
      </c>
      <c r="B73" s="17">
        <v>2.0</v>
      </c>
      <c r="C73" s="18"/>
      <c r="D73" s="19">
        <v>2.0</v>
      </c>
    </row>
    <row r="74" ht="15.0" customHeight="1">
      <c r="A74" s="16" t="s">
        <v>75</v>
      </c>
      <c r="B74" s="17">
        <v>2.0</v>
      </c>
      <c r="C74" s="18"/>
      <c r="D74" s="19">
        <v>2.0</v>
      </c>
    </row>
    <row r="75" ht="15.0" customHeight="1">
      <c r="A75" s="16" t="s">
        <v>76</v>
      </c>
      <c r="B75" s="17">
        <v>1.0</v>
      </c>
      <c r="C75" s="18"/>
      <c r="D75" s="19">
        <v>1.0</v>
      </c>
    </row>
    <row r="76" ht="15.0" customHeight="1">
      <c r="A76" s="16" t="s">
        <v>77</v>
      </c>
      <c r="B76" s="17">
        <v>2.0</v>
      </c>
      <c r="C76" s="18"/>
      <c r="D76" s="19">
        <v>2.0</v>
      </c>
    </row>
    <row r="77" ht="15.0" customHeight="1">
      <c r="A77" s="16" t="s">
        <v>78</v>
      </c>
      <c r="B77" s="17">
        <v>1.0</v>
      </c>
      <c r="C77" s="18"/>
      <c r="D77" s="19">
        <v>1.0</v>
      </c>
    </row>
    <row r="78" ht="18.0" customHeight="1">
      <c r="A78" s="13" t="s">
        <v>79</v>
      </c>
      <c r="B78" s="14">
        <f>SUM(B79:B82)</f>
        <v>6</v>
      </c>
      <c r="C78" s="13"/>
      <c r="D78" s="15">
        <f>SUM(D79:D82)</f>
        <v>6</v>
      </c>
    </row>
    <row r="79" ht="15.0" customHeight="1">
      <c r="A79" s="16" t="s">
        <v>80</v>
      </c>
      <c r="B79" s="17">
        <v>2.0</v>
      </c>
      <c r="C79" s="18"/>
      <c r="D79" s="19">
        <v>2.0</v>
      </c>
    </row>
    <row r="80" ht="15.0" customHeight="1">
      <c r="A80" s="16" t="s">
        <v>81</v>
      </c>
      <c r="B80" s="17">
        <v>1.0</v>
      </c>
      <c r="C80" s="18"/>
      <c r="D80" s="19">
        <v>1.0</v>
      </c>
    </row>
    <row r="81" ht="15.0" customHeight="1">
      <c r="A81" s="16" t="s">
        <v>82</v>
      </c>
      <c r="B81" s="17">
        <v>2.0</v>
      </c>
      <c r="C81" s="18"/>
      <c r="D81" s="19">
        <v>2.0</v>
      </c>
    </row>
    <row r="82" ht="15.0" customHeight="1">
      <c r="A82" s="16" t="s">
        <v>83</v>
      </c>
      <c r="B82" s="17">
        <v>1.0</v>
      </c>
      <c r="C82" s="18"/>
      <c r="D82" s="19">
        <v>1.0</v>
      </c>
    </row>
    <row r="83" ht="19.5" customHeight="1">
      <c r="A83" s="10" t="s">
        <v>84</v>
      </c>
      <c r="B83" s="11">
        <f>B84+B87</f>
        <v>20</v>
      </c>
      <c r="C83" s="10"/>
      <c r="D83" s="12">
        <f>D84+D87</f>
        <v>6.25</v>
      </c>
    </row>
    <row r="84" ht="18.0" customHeight="1">
      <c r="A84" s="13" t="s">
        <v>85</v>
      </c>
      <c r="B84" s="14">
        <f>SUM(B85:B86)</f>
        <v>5</v>
      </c>
      <c r="C84" s="13"/>
      <c r="D84" s="15">
        <f>SUM(D85:D86)</f>
        <v>2.5</v>
      </c>
    </row>
    <row r="85" ht="15.0" customHeight="1">
      <c r="A85" s="16" t="s">
        <v>86</v>
      </c>
      <c r="B85" s="17">
        <v>2.5</v>
      </c>
      <c r="C85" s="18"/>
      <c r="D85" s="19">
        <v>0.0</v>
      </c>
    </row>
    <row r="86" ht="15.0" customHeight="1">
      <c r="A86" s="16" t="s">
        <v>87</v>
      </c>
      <c r="B86" s="17">
        <v>2.5</v>
      </c>
      <c r="C86" s="18"/>
      <c r="D86" s="19">
        <v>2.5</v>
      </c>
    </row>
    <row r="87" ht="18.0" customHeight="1">
      <c r="A87" s="13" t="s">
        <v>88</v>
      </c>
      <c r="B87" s="14">
        <f>SUM(B88:B90)</f>
        <v>15</v>
      </c>
      <c r="C87" s="13"/>
      <c r="D87" s="15">
        <f>SUM(D88:D90)</f>
        <v>3.75</v>
      </c>
    </row>
    <row r="88" ht="15.0" customHeight="1">
      <c r="A88" s="16" t="s">
        <v>89</v>
      </c>
      <c r="B88" s="17">
        <v>5.0</v>
      </c>
      <c r="C88" s="18"/>
      <c r="D88" s="19">
        <v>2.5</v>
      </c>
    </row>
    <row r="89" ht="15.0" customHeight="1">
      <c r="A89" s="16" t="s">
        <v>90</v>
      </c>
      <c r="B89" s="17">
        <v>5.0</v>
      </c>
      <c r="C89" s="18"/>
      <c r="D89" s="19">
        <v>1.25</v>
      </c>
    </row>
    <row r="90" ht="15.0" customHeight="1">
      <c r="A90" s="16" t="s">
        <v>91</v>
      </c>
      <c r="B90" s="17">
        <v>5.0</v>
      </c>
      <c r="C90" s="18"/>
      <c r="D90" s="19">
        <v>0.0</v>
      </c>
    </row>
    <row r="91" ht="19.5" customHeight="1">
      <c r="A91" s="21" t="s">
        <v>92</v>
      </c>
      <c r="B91" s="22">
        <f>B19+B36+B83</f>
        <v>100</v>
      </c>
      <c r="C91" s="23"/>
      <c r="D91" s="24">
        <f>D19+D36+D83</f>
        <v>84.25</v>
      </c>
    </row>
    <row r="92" ht="15.75" customHeight="1">
      <c r="A92" s="2"/>
      <c r="B92" s="2"/>
      <c r="C92" s="2"/>
      <c r="D92" s="2"/>
    </row>
    <row r="93" ht="15.75" customHeight="1">
      <c r="A93" s="1" t="s">
        <v>93</v>
      </c>
      <c r="B93" s="2"/>
      <c r="C93" s="2"/>
      <c r="D93" s="2"/>
    </row>
    <row r="94" ht="15.75" customHeight="1">
      <c r="A94" s="9" t="s">
        <v>94</v>
      </c>
      <c r="B94" s="9" t="s">
        <v>95</v>
      </c>
      <c r="C94" s="9" t="s">
        <v>18</v>
      </c>
      <c r="D94" s="9"/>
    </row>
    <row r="95" ht="15.75" customHeight="1">
      <c r="A95" s="16" t="s">
        <v>96</v>
      </c>
      <c r="B95" s="25" t="s">
        <v>97</v>
      </c>
      <c r="C95" s="26"/>
      <c r="D95" s="27"/>
    </row>
    <row r="96" ht="15.75" customHeight="1">
      <c r="A96" s="16" t="s">
        <v>98</v>
      </c>
      <c r="B96" s="25" t="s">
        <v>97</v>
      </c>
      <c r="C96" s="26"/>
      <c r="D96" s="27"/>
    </row>
    <row r="97" ht="15.75" customHeight="1">
      <c r="A97" s="16" t="s">
        <v>99</v>
      </c>
      <c r="B97" s="25" t="s">
        <v>97</v>
      </c>
      <c r="C97" s="26"/>
      <c r="D97" s="27"/>
    </row>
    <row r="98" ht="15.75" customHeight="1">
      <c r="A98" s="16" t="s">
        <v>100</v>
      </c>
      <c r="B98" s="25" t="s">
        <v>97</v>
      </c>
      <c r="C98" s="26"/>
      <c r="D98" s="27"/>
    </row>
    <row r="99" ht="15.75" customHeight="1">
      <c r="A99" s="16" t="s">
        <v>101</v>
      </c>
      <c r="B99" s="25" t="s">
        <v>97</v>
      </c>
      <c r="C99" s="26"/>
      <c r="D99" s="27"/>
    </row>
    <row r="100" ht="15.75" customHeight="1">
      <c r="A100" s="16" t="s">
        <v>102</v>
      </c>
      <c r="B100" s="25" t="s">
        <v>97</v>
      </c>
      <c r="C100" s="26"/>
      <c r="D100" s="27"/>
    </row>
    <row r="101" ht="15.75" customHeight="1">
      <c r="A101" s="2"/>
      <c r="B101" s="2"/>
      <c r="C101" s="2"/>
      <c r="D101" s="2"/>
    </row>
    <row r="102" ht="15.75" customHeight="1">
      <c r="A102" s="1" t="s">
        <v>103</v>
      </c>
      <c r="B102" s="2"/>
      <c r="C102" s="2"/>
      <c r="D102" s="2"/>
    </row>
    <row r="103" ht="15.75" customHeight="1">
      <c r="A103" s="9" t="s">
        <v>104</v>
      </c>
      <c r="B103" s="9" t="s">
        <v>105</v>
      </c>
      <c r="C103" s="9" t="s">
        <v>106</v>
      </c>
      <c r="D103" s="9" t="s">
        <v>107</v>
      </c>
    </row>
    <row r="104" ht="15.75" customHeight="1">
      <c r="A104" s="16" t="s">
        <v>108</v>
      </c>
      <c r="B104" s="28">
        <v>-0.3</v>
      </c>
      <c r="C104" s="25" t="s">
        <v>109</v>
      </c>
      <c r="D104" s="29">
        <f t="shared" ref="D104:D118" si="1">IF(C104="Sí",$D$91*B104,0)</f>
        <v>0</v>
      </c>
    </row>
    <row r="105" ht="15.75" customHeight="1">
      <c r="A105" s="16" t="s">
        <v>110</v>
      </c>
      <c r="B105" s="28">
        <v>-0.2</v>
      </c>
      <c r="C105" s="25" t="s">
        <v>109</v>
      </c>
      <c r="D105" s="29">
        <f t="shared" si="1"/>
        <v>0</v>
      </c>
    </row>
    <row r="106" ht="15.75" customHeight="1">
      <c r="A106" s="16" t="s">
        <v>111</v>
      </c>
      <c r="B106" s="28">
        <v>-1.0</v>
      </c>
      <c r="C106" s="25" t="s">
        <v>109</v>
      </c>
      <c r="D106" s="29">
        <f t="shared" si="1"/>
        <v>0</v>
      </c>
    </row>
    <row r="107" ht="15.75" customHeight="1">
      <c r="A107" s="16" t="s">
        <v>112</v>
      </c>
      <c r="B107" s="28">
        <v>-1.0</v>
      </c>
      <c r="C107" s="25" t="s">
        <v>109</v>
      </c>
      <c r="D107" s="29">
        <f t="shared" si="1"/>
        <v>0</v>
      </c>
    </row>
    <row r="108" ht="15.75" customHeight="1">
      <c r="A108" s="16" t="s">
        <v>113</v>
      </c>
      <c r="B108" s="28">
        <v>-0.75</v>
      </c>
      <c r="C108" s="25" t="s">
        <v>109</v>
      </c>
      <c r="D108" s="29">
        <f t="shared" si="1"/>
        <v>0</v>
      </c>
    </row>
    <row r="109" ht="15.75" customHeight="1">
      <c r="A109" s="16" t="s">
        <v>114</v>
      </c>
      <c r="B109" s="28">
        <v>-0.75</v>
      </c>
      <c r="C109" s="25" t="s">
        <v>109</v>
      </c>
      <c r="D109" s="29">
        <f t="shared" si="1"/>
        <v>0</v>
      </c>
    </row>
    <row r="110" ht="15.75" customHeight="1">
      <c r="A110" s="16" t="s">
        <v>115</v>
      </c>
      <c r="B110" s="28">
        <v>-0.9</v>
      </c>
      <c r="C110" s="25" t="s">
        <v>109</v>
      </c>
      <c r="D110" s="29">
        <f t="shared" si="1"/>
        <v>0</v>
      </c>
    </row>
    <row r="111" ht="15.75" customHeight="1">
      <c r="A111" s="16" t="s">
        <v>116</v>
      </c>
      <c r="B111" s="28">
        <v>-0.5</v>
      </c>
      <c r="C111" s="25" t="s">
        <v>109</v>
      </c>
      <c r="D111" s="29">
        <f t="shared" si="1"/>
        <v>0</v>
      </c>
    </row>
    <row r="112" ht="15.75" customHeight="1">
      <c r="A112" s="16" t="s">
        <v>117</v>
      </c>
      <c r="B112" s="28">
        <v>-0.5</v>
      </c>
      <c r="C112" s="25" t="s">
        <v>109</v>
      </c>
      <c r="D112" s="29">
        <f t="shared" si="1"/>
        <v>0</v>
      </c>
    </row>
    <row r="113" ht="15.75" customHeight="1">
      <c r="A113" s="16" t="s">
        <v>118</v>
      </c>
      <c r="B113" s="28">
        <v>-1.0</v>
      </c>
      <c r="C113" s="25" t="s">
        <v>109</v>
      </c>
      <c r="D113" s="29">
        <f t="shared" si="1"/>
        <v>0</v>
      </c>
    </row>
    <row r="114" ht="15.75" customHeight="1">
      <c r="A114" s="16" t="s">
        <v>119</v>
      </c>
      <c r="B114" s="28">
        <v>-0.25</v>
      </c>
      <c r="C114" s="30" t="s">
        <v>97</v>
      </c>
      <c r="D114" s="29">
        <f t="shared" si="1"/>
        <v>-21.0625</v>
      </c>
    </row>
    <row r="115" ht="15.75" customHeight="1">
      <c r="A115" s="16" t="s">
        <v>120</v>
      </c>
      <c r="B115" s="28">
        <v>-1.0</v>
      </c>
      <c r="C115" s="25" t="s">
        <v>109</v>
      </c>
      <c r="D115" s="29">
        <f t="shared" si="1"/>
        <v>0</v>
      </c>
    </row>
    <row r="116" ht="15.75" customHeight="1">
      <c r="A116" s="16" t="s">
        <v>121</v>
      </c>
      <c r="B116" s="28">
        <v>-1.0</v>
      </c>
      <c r="C116" s="25" t="s">
        <v>109</v>
      </c>
      <c r="D116" s="29">
        <f t="shared" si="1"/>
        <v>0</v>
      </c>
    </row>
    <row r="117" ht="15.75" customHeight="1">
      <c r="A117" s="16" t="s">
        <v>122</v>
      </c>
      <c r="B117" s="28">
        <v>-0.5</v>
      </c>
      <c r="C117" s="25" t="s">
        <v>109</v>
      </c>
      <c r="D117" s="29">
        <f t="shared" si="1"/>
        <v>0</v>
      </c>
    </row>
    <row r="118" ht="15.75" customHeight="1">
      <c r="A118" s="16" t="s">
        <v>123</v>
      </c>
      <c r="B118" s="28">
        <v>-1.0</v>
      </c>
      <c r="C118" s="25" t="s">
        <v>109</v>
      </c>
      <c r="D118" s="29">
        <f t="shared" si="1"/>
        <v>0</v>
      </c>
    </row>
    <row r="119" ht="15.75" customHeight="1">
      <c r="A119" s="21" t="s">
        <v>124</v>
      </c>
      <c r="B119" s="23"/>
      <c r="C119" s="23"/>
      <c r="D119" s="24">
        <f>SUM(D104:D118)</f>
        <v>-21.0625</v>
      </c>
    </row>
    <row r="120" ht="15.75" customHeight="1">
      <c r="A120" s="2"/>
      <c r="B120" s="2"/>
      <c r="C120" s="2"/>
      <c r="D120" s="2"/>
    </row>
    <row r="121" ht="21.75" customHeight="1">
      <c r="A121" s="31" t="s">
        <v>125</v>
      </c>
      <c r="B121" s="32"/>
      <c r="C121" s="32"/>
      <c r="D121" s="33">
        <f>MAX(0,ROUND($D$91+$D$119,2))</f>
        <v>63.19</v>
      </c>
    </row>
    <row r="122" ht="15.75" customHeight="1">
      <c r="A122" s="2"/>
      <c r="B122" s="2"/>
      <c r="C122" s="2"/>
      <c r="D122" s="2"/>
    </row>
    <row r="123" ht="15.75" customHeight="1">
      <c r="A123" s="4" t="s">
        <v>126</v>
      </c>
      <c r="B123" s="2"/>
      <c r="C123" s="2"/>
      <c r="D123" s="2"/>
    </row>
    <row r="124" ht="18.0" customHeight="1">
      <c r="A124" s="34"/>
      <c r="B124" s="35"/>
      <c r="C124" s="35"/>
      <c r="D124" s="36"/>
    </row>
    <row r="125" ht="18.0" customHeight="1">
      <c r="A125" s="34"/>
      <c r="B125" s="35"/>
      <c r="C125" s="35"/>
      <c r="D125" s="36"/>
    </row>
    <row r="126" ht="18.0" customHeight="1">
      <c r="A126" s="34"/>
      <c r="B126" s="35"/>
      <c r="C126" s="35"/>
      <c r="D126" s="36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37" t="s">
        <v>127</v>
      </c>
      <c r="B129" s="2"/>
      <c r="C129" s="37" t="s">
        <v>127</v>
      </c>
      <c r="D129" s="2"/>
    </row>
    <row r="130" ht="15.75" customHeight="1">
      <c r="A130" s="37" t="s">
        <v>128</v>
      </c>
      <c r="B130" s="2"/>
      <c r="C130" s="37" t="s">
        <v>129</v>
      </c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mergeCells count="6">
    <mergeCell ref="A14:D14"/>
    <mergeCell ref="A15:D15"/>
    <mergeCell ref="A16:D16"/>
    <mergeCell ref="A124:D124"/>
    <mergeCell ref="A125:D125"/>
    <mergeCell ref="A126:D126"/>
  </mergeCells>
  <conditionalFormatting sqref="D19:D90">
    <cfRule type="cellIs" dxfId="0" priority="1" operator="greaterThan">
      <formula>B19</formula>
    </cfRule>
  </conditionalFormatting>
  <dataValidations>
    <dataValidation type="list" allowBlank="1" sqref="B95:B100 C104:C118">
      <formula1>"Sí,No"</formula1>
    </dataValidation>
  </dataValidations>
  <printOptions horizontalCentered="1"/>
  <pageMargins bottom="1.0" footer="0.0" header="0.0" left="0.75" right="0.75" top="1.0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8.0" topLeftCell="A19" activePane="bottomLeft" state="frozen"/>
      <selection activeCell="B20" sqref="B20" pane="bottomLeft"/>
    </sheetView>
  </sheetViews>
  <sheetFormatPr customHeight="1" defaultColWidth="14.43" defaultRowHeight="15.0"/>
  <cols>
    <col customWidth="1" min="1" max="1" width="78.0"/>
    <col customWidth="1" min="2" max="2" width="11.0"/>
    <col customWidth="1" min="3" max="3" width="34.0"/>
    <col customWidth="1" min="4" max="4" width="11.0"/>
    <col customWidth="1" min="5" max="26" width="8.71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3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2"/>
      <c r="B7" s="2"/>
      <c r="C7" s="2"/>
      <c r="D7" s="2"/>
    </row>
    <row r="8">
      <c r="A8" s="3" t="s">
        <v>6</v>
      </c>
      <c r="B8" s="2"/>
      <c r="C8" s="2"/>
      <c r="D8" s="2"/>
    </row>
    <row r="9">
      <c r="A9" s="2"/>
      <c r="B9" s="2"/>
      <c r="C9" s="2"/>
      <c r="D9" s="2"/>
    </row>
    <row r="10">
      <c r="A10" s="4" t="s">
        <v>7</v>
      </c>
      <c r="B10" s="5"/>
      <c r="C10" s="2"/>
      <c r="D10" s="2"/>
    </row>
    <row r="11">
      <c r="A11" s="4" t="s">
        <v>8</v>
      </c>
      <c r="B11" s="6" t="s">
        <v>142</v>
      </c>
      <c r="C11" s="2"/>
      <c r="D11" s="2"/>
    </row>
    <row r="12">
      <c r="A12" s="4" t="s">
        <v>10</v>
      </c>
      <c r="B12" s="6">
        <v>2.02407699E8</v>
      </c>
      <c r="C12" s="2"/>
      <c r="D12" s="2"/>
    </row>
    <row r="13">
      <c r="A13" s="2"/>
      <c r="B13" s="2"/>
      <c r="C13" s="2"/>
      <c r="D13" s="2"/>
    </row>
    <row r="14" ht="25.5" customHeight="1">
      <c r="A14" s="8" t="s">
        <v>12</v>
      </c>
    </row>
    <row r="15" ht="25.5" customHeight="1">
      <c r="A15" s="8" t="s">
        <v>14</v>
      </c>
    </row>
    <row r="16" ht="25.5" customHeight="1">
      <c r="A16" s="8" t="s">
        <v>15</v>
      </c>
    </row>
    <row r="17">
      <c r="A17" s="2"/>
      <c r="B17" s="2"/>
      <c r="C17" s="2"/>
      <c r="D17" s="2"/>
    </row>
    <row r="18" ht="19.5" customHeight="1">
      <c r="A18" s="9" t="s">
        <v>16</v>
      </c>
      <c r="B18" s="9" t="s">
        <v>17</v>
      </c>
      <c r="C18" s="9" t="s">
        <v>18</v>
      </c>
      <c r="D18" s="9" t="s">
        <v>19</v>
      </c>
    </row>
    <row r="19" ht="19.5" customHeight="1">
      <c r="A19" s="10" t="s">
        <v>20</v>
      </c>
      <c r="B19" s="11">
        <f>B20+B25+B30</f>
        <v>25</v>
      </c>
      <c r="C19" s="10"/>
      <c r="D19" s="12">
        <f>D20+D25+D30</f>
        <v>25</v>
      </c>
    </row>
    <row r="20" ht="18.0" customHeight="1">
      <c r="A20" s="13" t="s">
        <v>21</v>
      </c>
      <c r="B20" s="14">
        <f>SUM(B21:B24)</f>
        <v>10</v>
      </c>
      <c r="C20" s="13"/>
      <c r="D20" s="15">
        <f>SUM(D21:D24)</f>
        <v>10</v>
      </c>
    </row>
    <row r="21" ht="15.0" customHeight="1">
      <c r="A21" s="16" t="s">
        <v>22</v>
      </c>
      <c r="B21" s="17">
        <v>3.0</v>
      </c>
      <c r="C21" s="18"/>
      <c r="D21" s="19">
        <v>3.0</v>
      </c>
    </row>
    <row r="22" ht="15.0" customHeight="1">
      <c r="A22" s="16" t="s">
        <v>23</v>
      </c>
      <c r="B22" s="17">
        <v>3.0</v>
      </c>
      <c r="C22" s="18"/>
      <c r="D22" s="19">
        <v>3.0</v>
      </c>
    </row>
    <row r="23" ht="15.0" customHeight="1">
      <c r="A23" s="16" t="s">
        <v>24</v>
      </c>
      <c r="B23" s="17">
        <v>2.0</v>
      </c>
      <c r="C23" s="18"/>
      <c r="D23" s="19">
        <v>2.0</v>
      </c>
    </row>
    <row r="24" ht="15.0" customHeight="1">
      <c r="A24" s="16" t="s">
        <v>25</v>
      </c>
      <c r="B24" s="17">
        <v>2.0</v>
      </c>
      <c r="C24" s="18"/>
      <c r="D24" s="19">
        <v>2.0</v>
      </c>
    </row>
    <row r="25" ht="18.0" customHeight="1">
      <c r="A25" s="13" t="s">
        <v>26</v>
      </c>
      <c r="B25" s="14">
        <f>SUM(B26:B29)</f>
        <v>10</v>
      </c>
      <c r="C25" s="13"/>
      <c r="D25" s="15">
        <f>SUM(D26:D29)</f>
        <v>10</v>
      </c>
    </row>
    <row r="26" ht="15.0" customHeight="1">
      <c r="A26" s="16" t="s">
        <v>27</v>
      </c>
      <c r="B26" s="17">
        <v>4.0</v>
      </c>
      <c r="C26" s="18"/>
      <c r="D26" s="19">
        <v>4.0</v>
      </c>
    </row>
    <row r="27" ht="15.0" customHeight="1">
      <c r="A27" s="16" t="s">
        <v>28</v>
      </c>
      <c r="B27" s="17">
        <v>2.0</v>
      </c>
      <c r="C27" s="18"/>
      <c r="D27" s="19">
        <v>2.0</v>
      </c>
    </row>
    <row r="28" ht="15.0" customHeight="1">
      <c r="A28" s="16" t="s">
        <v>29</v>
      </c>
      <c r="B28" s="17">
        <v>3.0</v>
      </c>
      <c r="C28" s="18"/>
      <c r="D28" s="19">
        <v>3.0</v>
      </c>
    </row>
    <row r="29" ht="15.0" customHeight="1">
      <c r="A29" s="16" t="s">
        <v>30</v>
      </c>
      <c r="B29" s="17">
        <v>1.0</v>
      </c>
      <c r="C29" s="18"/>
      <c r="D29" s="19">
        <v>1.0</v>
      </c>
    </row>
    <row r="30" ht="18.0" customHeight="1">
      <c r="A30" s="13" t="s">
        <v>31</v>
      </c>
      <c r="B30" s="14">
        <f>SUM(B31:B35)</f>
        <v>5</v>
      </c>
      <c r="C30" s="13"/>
      <c r="D30" s="15">
        <f>SUM(D31:D35)</f>
        <v>5</v>
      </c>
    </row>
    <row r="31" ht="15.0" customHeight="1">
      <c r="A31" s="16" t="s">
        <v>32</v>
      </c>
      <c r="B31" s="17">
        <v>1.0</v>
      </c>
      <c r="C31" s="18"/>
      <c r="D31" s="19">
        <v>1.0</v>
      </c>
    </row>
    <row r="32" ht="15.0" customHeight="1">
      <c r="A32" s="16" t="s">
        <v>33</v>
      </c>
      <c r="B32" s="17">
        <v>1.0</v>
      </c>
      <c r="C32" s="18"/>
      <c r="D32" s="19">
        <v>1.0</v>
      </c>
    </row>
    <row r="33" ht="15.0" customHeight="1">
      <c r="A33" s="16" t="s">
        <v>34</v>
      </c>
      <c r="B33" s="17">
        <v>1.0</v>
      </c>
      <c r="C33" s="18"/>
      <c r="D33" s="19">
        <v>1.0</v>
      </c>
    </row>
    <row r="34" ht="15.0" customHeight="1">
      <c r="A34" s="16" t="s">
        <v>35</v>
      </c>
      <c r="B34" s="17">
        <v>1.0</v>
      </c>
      <c r="C34" s="18"/>
      <c r="D34" s="19">
        <v>1.0</v>
      </c>
    </row>
    <row r="35" ht="15.0" customHeight="1">
      <c r="A35" s="16" t="s">
        <v>36</v>
      </c>
      <c r="B35" s="17">
        <v>1.0</v>
      </c>
      <c r="C35" s="18"/>
      <c r="D35" s="19">
        <v>1.0</v>
      </c>
    </row>
    <row r="36" ht="19.5" customHeight="1">
      <c r="A36" s="10" t="s">
        <v>37</v>
      </c>
      <c r="B36" s="11">
        <f>B37+B43+B55+B61+B67+B72+B78</f>
        <v>55</v>
      </c>
      <c r="C36" s="10"/>
      <c r="D36" s="12">
        <f>D37+D43+D55+D61+D67+D72+D78</f>
        <v>55</v>
      </c>
    </row>
    <row r="37" ht="18.0" customHeight="1">
      <c r="A37" s="13" t="s">
        <v>38</v>
      </c>
      <c r="B37" s="14">
        <f>SUM(B38:B42)</f>
        <v>5</v>
      </c>
      <c r="C37" s="13"/>
      <c r="D37" s="15">
        <f>SUM(D38:D42)</f>
        <v>5</v>
      </c>
    </row>
    <row r="38" ht="15.0" customHeight="1">
      <c r="A38" s="16" t="s">
        <v>39</v>
      </c>
      <c r="B38" s="17">
        <v>1.0</v>
      </c>
      <c r="C38" s="18"/>
      <c r="D38" s="19">
        <v>1.0</v>
      </c>
    </row>
    <row r="39" ht="15.0" customHeight="1">
      <c r="A39" s="16" t="s">
        <v>40</v>
      </c>
      <c r="B39" s="17">
        <v>1.0</v>
      </c>
      <c r="C39" s="18"/>
      <c r="D39" s="19">
        <v>1.0</v>
      </c>
    </row>
    <row r="40" ht="15.0" customHeight="1">
      <c r="A40" s="16" t="s">
        <v>41</v>
      </c>
      <c r="B40" s="17">
        <v>1.0</v>
      </c>
      <c r="C40" s="18"/>
      <c r="D40" s="19">
        <v>1.0</v>
      </c>
    </row>
    <row r="41" ht="15.0" customHeight="1">
      <c r="A41" s="16" t="s">
        <v>42</v>
      </c>
      <c r="B41" s="17">
        <v>1.0</v>
      </c>
      <c r="C41" s="18"/>
      <c r="D41" s="19">
        <v>1.0</v>
      </c>
    </row>
    <row r="42" ht="15.0" customHeight="1">
      <c r="A42" s="16" t="s">
        <v>43</v>
      </c>
      <c r="B42" s="17">
        <v>1.0</v>
      </c>
      <c r="C42" s="18"/>
      <c r="D42" s="19">
        <v>1.0</v>
      </c>
    </row>
    <row r="43" ht="18.0" customHeight="1">
      <c r="A43" s="13" t="s">
        <v>44</v>
      </c>
      <c r="B43" s="14">
        <f>SUM(B44:B54)</f>
        <v>15</v>
      </c>
      <c r="C43" s="13"/>
      <c r="D43" s="15">
        <f>SUM(D44:D54)</f>
        <v>15</v>
      </c>
    </row>
    <row r="44" ht="15.0" customHeight="1">
      <c r="A44" s="16" t="s">
        <v>45</v>
      </c>
      <c r="B44" s="17">
        <v>2.0</v>
      </c>
      <c r="C44" s="18"/>
      <c r="D44" s="19">
        <v>2.0</v>
      </c>
    </row>
    <row r="45" ht="15.0" customHeight="1">
      <c r="A45" s="16" t="s">
        <v>46</v>
      </c>
      <c r="B45" s="17">
        <v>1.0</v>
      </c>
      <c r="C45" s="18"/>
      <c r="D45" s="19">
        <v>1.0</v>
      </c>
    </row>
    <row r="46" ht="15.0" customHeight="1">
      <c r="A46" s="16" t="s">
        <v>47</v>
      </c>
      <c r="B46" s="17">
        <v>1.0</v>
      </c>
      <c r="C46" s="18"/>
      <c r="D46" s="19">
        <v>1.0</v>
      </c>
    </row>
    <row r="47" ht="15.0" customHeight="1">
      <c r="A47" s="16" t="s">
        <v>48</v>
      </c>
      <c r="B47" s="17">
        <v>1.0</v>
      </c>
      <c r="C47" s="18"/>
      <c r="D47" s="19">
        <v>1.0</v>
      </c>
    </row>
    <row r="48" ht="15.0" customHeight="1">
      <c r="A48" s="16" t="s">
        <v>49</v>
      </c>
      <c r="B48" s="17">
        <v>2.0</v>
      </c>
      <c r="C48" s="18"/>
      <c r="D48" s="19">
        <v>2.0</v>
      </c>
    </row>
    <row r="49" ht="15.0" customHeight="1">
      <c r="A49" s="16" t="s">
        <v>50</v>
      </c>
      <c r="B49" s="17">
        <v>2.0</v>
      </c>
      <c r="C49" s="18"/>
      <c r="D49" s="19">
        <v>2.0</v>
      </c>
    </row>
    <row r="50" ht="15.0" customHeight="1">
      <c r="A50" s="16" t="s">
        <v>51</v>
      </c>
      <c r="B50" s="17">
        <v>1.0</v>
      </c>
      <c r="C50" s="18"/>
      <c r="D50" s="19">
        <v>1.0</v>
      </c>
    </row>
    <row r="51" ht="15.0" customHeight="1">
      <c r="A51" s="16" t="s">
        <v>52</v>
      </c>
      <c r="B51" s="17">
        <v>1.0</v>
      </c>
      <c r="C51" s="18"/>
      <c r="D51" s="19">
        <v>1.0</v>
      </c>
    </row>
    <row r="52" ht="15.0" customHeight="1">
      <c r="A52" s="16" t="s">
        <v>53</v>
      </c>
      <c r="B52" s="17">
        <v>2.0</v>
      </c>
      <c r="C52" s="18"/>
      <c r="D52" s="19">
        <v>2.0</v>
      </c>
    </row>
    <row r="53" ht="15.0" customHeight="1">
      <c r="A53" s="16" t="s">
        <v>54</v>
      </c>
      <c r="B53" s="17">
        <v>1.0</v>
      </c>
      <c r="C53" s="18"/>
      <c r="D53" s="19">
        <v>1.0</v>
      </c>
    </row>
    <row r="54" ht="15.0" customHeight="1">
      <c r="A54" s="16" t="s">
        <v>55</v>
      </c>
      <c r="B54" s="17">
        <v>1.0</v>
      </c>
      <c r="C54" s="18"/>
      <c r="D54" s="19">
        <v>1.0</v>
      </c>
    </row>
    <row r="55" ht="18.0" customHeight="1">
      <c r="A55" s="13" t="s">
        <v>56</v>
      </c>
      <c r="B55" s="14">
        <f>SUM(B56:B60)</f>
        <v>8</v>
      </c>
      <c r="C55" s="13"/>
      <c r="D55" s="15">
        <f>SUM(D56:D60)</f>
        <v>8</v>
      </c>
    </row>
    <row r="56" ht="15.0" customHeight="1">
      <c r="A56" s="16" t="s">
        <v>57</v>
      </c>
      <c r="B56" s="17">
        <v>1.0</v>
      </c>
      <c r="C56" s="18"/>
      <c r="D56" s="19">
        <v>1.0</v>
      </c>
    </row>
    <row r="57" ht="15.0" customHeight="1">
      <c r="A57" s="16" t="s">
        <v>58</v>
      </c>
      <c r="B57" s="17">
        <v>2.0</v>
      </c>
      <c r="C57" s="18"/>
      <c r="D57" s="19">
        <v>2.0</v>
      </c>
    </row>
    <row r="58" ht="15.0" customHeight="1">
      <c r="A58" s="16" t="s">
        <v>59</v>
      </c>
      <c r="B58" s="17">
        <v>2.0</v>
      </c>
      <c r="C58" s="18"/>
      <c r="D58" s="19">
        <v>2.0</v>
      </c>
    </row>
    <row r="59" ht="15.0" customHeight="1">
      <c r="A59" s="16" t="s">
        <v>60</v>
      </c>
      <c r="B59" s="17">
        <v>2.0</v>
      </c>
      <c r="C59" s="18"/>
      <c r="D59" s="19">
        <v>2.0</v>
      </c>
    </row>
    <row r="60" ht="15.0" customHeight="1">
      <c r="A60" s="16" t="s">
        <v>61</v>
      </c>
      <c r="B60" s="17">
        <v>1.0</v>
      </c>
      <c r="C60" s="18"/>
      <c r="D60" s="19">
        <v>1.0</v>
      </c>
    </row>
    <row r="61" ht="18.0" customHeight="1">
      <c r="A61" s="13" t="s">
        <v>62</v>
      </c>
      <c r="B61" s="14">
        <f>SUM(B62:B66)</f>
        <v>8</v>
      </c>
      <c r="C61" s="13"/>
      <c r="D61" s="15">
        <f>SUM(D62:D66)</f>
        <v>8</v>
      </c>
    </row>
    <row r="62" ht="15.0" customHeight="1">
      <c r="A62" s="16" t="s">
        <v>63</v>
      </c>
      <c r="B62" s="17">
        <v>2.0</v>
      </c>
      <c r="C62" s="18"/>
      <c r="D62" s="19">
        <v>2.0</v>
      </c>
    </row>
    <row r="63" ht="15.0" customHeight="1">
      <c r="A63" s="16" t="s">
        <v>64</v>
      </c>
      <c r="B63" s="17">
        <v>2.0</v>
      </c>
      <c r="C63" s="18"/>
      <c r="D63" s="19">
        <v>2.0</v>
      </c>
    </row>
    <row r="64" ht="15.0" customHeight="1">
      <c r="A64" s="16" t="s">
        <v>65</v>
      </c>
      <c r="B64" s="17">
        <v>1.0</v>
      </c>
      <c r="C64" s="18"/>
      <c r="D64" s="19">
        <v>1.0</v>
      </c>
    </row>
    <row r="65" ht="15.0" customHeight="1">
      <c r="A65" s="16" t="s">
        <v>66</v>
      </c>
      <c r="B65" s="17">
        <v>2.0</v>
      </c>
      <c r="C65" s="18"/>
      <c r="D65" s="19">
        <v>2.0</v>
      </c>
    </row>
    <row r="66" ht="15.0" customHeight="1">
      <c r="A66" s="16" t="s">
        <v>67</v>
      </c>
      <c r="B66" s="17">
        <v>1.0</v>
      </c>
      <c r="C66" s="18"/>
      <c r="D66" s="19">
        <v>1.0</v>
      </c>
    </row>
    <row r="67" ht="18.0" customHeight="1">
      <c r="A67" s="13" t="s">
        <v>68</v>
      </c>
      <c r="B67" s="14">
        <f>SUM(B68:B71)</f>
        <v>5</v>
      </c>
      <c r="C67" s="13"/>
      <c r="D67" s="15">
        <f>SUM(D68:D71)</f>
        <v>5</v>
      </c>
    </row>
    <row r="68" ht="15.0" customHeight="1">
      <c r="A68" s="16" t="s">
        <v>69</v>
      </c>
      <c r="B68" s="17">
        <v>1.0</v>
      </c>
      <c r="C68" s="18"/>
      <c r="D68" s="19">
        <v>1.0</v>
      </c>
    </row>
    <row r="69" ht="15.0" customHeight="1">
      <c r="A69" s="16" t="s">
        <v>70</v>
      </c>
      <c r="B69" s="17">
        <v>2.0</v>
      </c>
      <c r="C69" s="18"/>
      <c r="D69" s="19">
        <v>2.0</v>
      </c>
    </row>
    <row r="70" ht="15.0" customHeight="1">
      <c r="A70" s="16" t="s">
        <v>71</v>
      </c>
      <c r="B70" s="17">
        <v>1.0</v>
      </c>
      <c r="C70" s="18"/>
      <c r="D70" s="19">
        <v>1.0</v>
      </c>
    </row>
    <row r="71" ht="15.0" customHeight="1">
      <c r="A71" s="16" t="s">
        <v>72</v>
      </c>
      <c r="B71" s="17">
        <v>1.0</v>
      </c>
      <c r="C71" s="18"/>
      <c r="D71" s="19">
        <v>1.0</v>
      </c>
    </row>
    <row r="72" ht="18.0" customHeight="1">
      <c r="A72" s="13" t="s">
        <v>73</v>
      </c>
      <c r="B72" s="14">
        <f>SUM(B73:B77)</f>
        <v>8</v>
      </c>
      <c r="C72" s="13"/>
      <c r="D72" s="15">
        <f>SUM(D73:D77)</f>
        <v>8</v>
      </c>
    </row>
    <row r="73" ht="15.0" customHeight="1">
      <c r="A73" s="16" t="s">
        <v>74</v>
      </c>
      <c r="B73" s="17">
        <v>2.0</v>
      </c>
      <c r="C73" s="18"/>
      <c r="D73" s="19">
        <v>2.0</v>
      </c>
    </row>
    <row r="74" ht="15.0" customHeight="1">
      <c r="A74" s="16" t="s">
        <v>75</v>
      </c>
      <c r="B74" s="17">
        <v>2.0</v>
      </c>
      <c r="C74" s="18"/>
      <c r="D74" s="19">
        <v>2.0</v>
      </c>
    </row>
    <row r="75" ht="15.0" customHeight="1">
      <c r="A75" s="16" t="s">
        <v>76</v>
      </c>
      <c r="B75" s="17">
        <v>1.0</v>
      </c>
      <c r="C75" s="18"/>
      <c r="D75" s="19">
        <v>1.0</v>
      </c>
    </row>
    <row r="76" ht="15.0" customHeight="1">
      <c r="A76" s="16" t="s">
        <v>77</v>
      </c>
      <c r="B76" s="17">
        <v>2.0</v>
      </c>
      <c r="C76" s="18"/>
      <c r="D76" s="19">
        <v>2.0</v>
      </c>
    </row>
    <row r="77" ht="15.0" customHeight="1">
      <c r="A77" s="16" t="s">
        <v>78</v>
      </c>
      <c r="B77" s="17">
        <v>1.0</v>
      </c>
      <c r="C77" s="18"/>
      <c r="D77" s="19">
        <v>1.0</v>
      </c>
    </row>
    <row r="78" ht="18.0" customHeight="1">
      <c r="A78" s="13" t="s">
        <v>79</v>
      </c>
      <c r="B78" s="14">
        <f>SUM(B79:B82)</f>
        <v>6</v>
      </c>
      <c r="C78" s="13"/>
      <c r="D78" s="15">
        <f>SUM(D79:D82)</f>
        <v>6</v>
      </c>
    </row>
    <row r="79" ht="15.0" customHeight="1">
      <c r="A79" s="16" t="s">
        <v>80</v>
      </c>
      <c r="B79" s="17">
        <v>2.0</v>
      </c>
      <c r="C79" s="18"/>
      <c r="D79" s="19">
        <v>2.0</v>
      </c>
    </row>
    <row r="80" ht="15.0" customHeight="1">
      <c r="A80" s="16" t="s">
        <v>81</v>
      </c>
      <c r="B80" s="17">
        <v>1.0</v>
      </c>
      <c r="C80" s="18"/>
      <c r="D80" s="19">
        <v>1.0</v>
      </c>
    </row>
    <row r="81" ht="15.0" customHeight="1">
      <c r="A81" s="16" t="s">
        <v>82</v>
      </c>
      <c r="B81" s="17">
        <v>2.0</v>
      </c>
      <c r="C81" s="18"/>
      <c r="D81" s="19">
        <v>2.0</v>
      </c>
    </row>
    <row r="82" ht="15.0" customHeight="1">
      <c r="A82" s="16" t="s">
        <v>83</v>
      </c>
      <c r="B82" s="17">
        <v>1.0</v>
      </c>
      <c r="C82" s="18"/>
      <c r="D82" s="19">
        <v>1.0</v>
      </c>
    </row>
    <row r="83" ht="19.5" customHeight="1">
      <c r="A83" s="10" t="s">
        <v>84</v>
      </c>
      <c r="B83" s="11">
        <f>B84+B87</f>
        <v>20</v>
      </c>
      <c r="C83" s="10"/>
      <c r="D83" s="12">
        <f>D84+D87</f>
        <v>7.5</v>
      </c>
    </row>
    <row r="84" ht="18.0" customHeight="1">
      <c r="A84" s="13" t="s">
        <v>85</v>
      </c>
      <c r="B84" s="14">
        <f>SUM(B85:B86)</f>
        <v>5</v>
      </c>
      <c r="C84" s="13"/>
      <c r="D84" s="15">
        <f>SUM(D85:D86)</f>
        <v>0</v>
      </c>
    </row>
    <row r="85" ht="15.0" customHeight="1">
      <c r="A85" s="16" t="s">
        <v>86</v>
      </c>
      <c r="B85" s="17">
        <v>2.5</v>
      </c>
      <c r="C85" s="18"/>
      <c r="D85" s="19">
        <v>0.0</v>
      </c>
    </row>
    <row r="86" ht="15.0" customHeight="1">
      <c r="A86" s="16" t="s">
        <v>87</v>
      </c>
      <c r="B86" s="17">
        <v>2.5</v>
      </c>
      <c r="C86" s="18"/>
      <c r="D86" s="19">
        <v>0.0</v>
      </c>
    </row>
    <row r="87" ht="18.0" customHeight="1">
      <c r="A87" s="13" t="s">
        <v>88</v>
      </c>
      <c r="B87" s="14">
        <f>SUM(B88:B90)</f>
        <v>15</v>
      </c>
      <c r="C87" s="13"/>
      <c r="D87" s="15">
        <f>SUM(D88:D90)</f>
        <v>7.5</v>
      </c>
    </row>
    <row r="88" ht="15.0" customHeight="1">
      <c r="A88" s="16" t="s">
        <v>89</v>
      </c>
      <c r="B88" s="17">
        <v>5.0</v>
      </c>
      <c r="C88" s="18"/>
      <c r="D88" s="19">
        <v>2.5</v>
      </c>
    </row>
    <row r="89" ht="15.0" customHeight="1">
      <c r="A89" s="16" t="s">
        <v>90</v>
      </c>
      <c r="B89" s="17">
        <v>5.0</v>
      </c>
      <c r="C89" s="18"/>
      <c r="D89" s="19">
        <v>2.5</v>
      </c>
    </row>
    <row r="90" ht="15.0" customHeight="1">
      <c r="A90" s="16" t="s">
        <v>91</v>
      </c>
      <c r="B90" s="17">
        <v>5.0</v>
      </c>
      <c r="C90" s="18"/>
      <c r="D90" s="19">
        <v>2.5</v>
      </c>
    </row>
    <row r="91" ht="19.5" customHeight="1">
      <c r="A91" s="21" t="s">
        <v>92</v>
      </c>
      <c r="B91" s="22">
        <f>B19+B36+B83</f>
        <v>100</v>
      </c>
      <c r="C91" s="23"/>
      <c r="D91" s="24">
        <f>D19+D36+D83</f>
        <v>87.5</v>
      </c>
    </row>
    <row r="92" ht="15.75" customHeight="1">
      <c r="A92" s="2"/>
      <c r="B92" s="2"/>
      <c r="C92" s="2"/>
      <c r="D92" s="2"/>
    </row>
    <row r="93" ht="15.75" customHeight="1">
      <c r="A93" s="1" t="s">
        <v>93</v>
      </c>
      <c r="B93" s="2"/>
      <c r="C93" s="2"/>
      <c r="D93" s="2"/>
    </row>
    <row r="94" ht="15.75" customHeight="1">
      <c r="A94" s="9" t="s">
        <v>94</v>
      </c>
      <c r="B94" s="9" t="s">
        <v>95</v>
      </c>
      <c r="C94" s="9" t="s">
        <v>18</v>
      </c>
      <c r="D94" s="9"/>
    </row>
    <row r="95" ht="15.75" customHeight="1">
      <c r="A95" s="16" t="s">
        <v>96</v>
      </c>
      <c r="B95" s="25" t="s">
        <v>97</v>
      </c>
      <c r="C95" s="26"/>
      <c r="D95" s="27"/>
    </row>
    <row r="96" ht="15.75" customHeight="1">
      <c r="A96" s="16" t="s">
        <v>98</v>
      </c>
      <c r="B96" s="25" t="s">
        <v>97</v>
      </c>
      <c r="C96" s="26"/>
      <c r="D96" s="27"/>
    </row>
    <row r="97" ht="15.75" customHeight="1">
      <c r="A97" s="16" t="s">
        <v>99</v>
      </c>
      <c r="B97" s="25" t="s">
        <v>97</v>
      </c>
      <c r="C97" s="26"/>
      <c r="D97" s="27"/>
    </row>
    <row r="98" ht="15.75" customHeight="1">
      <c r="A98" s="16" t="s">
        <v>100</v>
      </c>
      <c r="B98" s="25" t="s">
        <v>97</v>
      </c>
      <c r="C98" s="26"/>
      <c r="D98" s="27"/>
    </row>
    <row r="99" ht="15.75" customHeight="1">
      <c r="A99" s="16" t="s">
        <v>101</v>
      </c>
      <c r="B99" s="25" t="s">
        <v>97</v>
      </c>
      <c r="C99" s="26"/>
      <c r="D99" s="27"/>
    </row>
    <row r="100" ht="15.75" customHeight="1">
      <c r="A100" s="16" t="s">
        <v>102</v>
      </c>
      <c r="B100" s="25" t="s">
        <v>97</v>
      </c>
      <c r="C100" s="26"/>
      <c r="D100" s="27"/>
    </row>
    <row r="101" ht="15.75" customHeight="1">
      <c r="A101" s="2"/>
      <c r="B101" s="2"/>
      <c r="C101" s="2"/>
      <c r="D101" s="2"/>
    </row>
    <row r="102" ht="15.75" customHeight="1">
      <c r="A102" s="1" t="s">
        <v>103</v>
      </c>
      <c r="B102" s="2"/>
      <c r="C102" s="2"/>
      <c r="D102" s="2"/>
    </row>
    <row r="103" ht="15.75" customHeight="1">
      <c r="A103" s="9" t="s">
        <v>104</v>
      </c>
      <c r="B103" s="9" t="s">
        <v>105</v>
      </c>
      <c r="C103" s="9" t="s">
        <v>106</v>
      </c>
      <c r="D103" s="9" t="s">
        <v>107</v>
      </c>
    </row>
    <row r="104" ht="15.75" customHeight="1">
      <c r="A104" s="16" t="s">
        <v>108</v>
      </c>
      <c r="B104" s="28">
        <v>-0.3</v>
      </c>
      <c r="C104" s="25" t="s">
        <v>109</v>
      </c>
      <c r="D104" s="29">
        <f t="shared" ref="D104:D118" si="1">IF(C104="Sí",$D$91*B104,0)</f>
        <v>0</v>
      </c>
    </row>
    <row r="105" ht="15.75" customHeight="1">
      <c r="A105" s="16" t="s">
        <v>110</v>
      </c>
      <c r="B105" s="28">
        <v>-0.2</v>
      </c>
      <c r="C105" s="25" t="s">
        <v>109</v>
      </c>
      <c r="D105" s="29">
        <f t="shared" si="1"/>
        <v>0</v>
      </c>
    </row>
    <row r="106" ht="15.75" customHeight="1">
      <c r="A106" s="16" t="s">
        <v>111</v>
      </c>
      <c r="B106" s="28">
        <v>-1.0</v>
      </c>
      <c r="C106" s="25" t="s">
        <v>109</v>
      </c>
      <c r="D106" s="29">
        <f t="shared" si="1"/>
        <v>0</v>
      </c>
    </row>
    <row r="107" ht="15.75" customHeight="1">
      <c r="A107" s="16" t="s">
        <v>112</v>
      </c>
      <c r="B107" s="28">
        <v>-1.0</v>
      </c>
      <c r="C107" s="25" t="s">
        <v>109</v>
      </c>
      <c r="D107" s="29">
        <f t="shared" si="1"/>
        <v>0</v>
      </c>
    </row>
    <row r="108" ht="15.75" customHeight="1">
      <c r="A108" s="16" t="s">
        <v>113</v>
      </c>
      <c r="B108" s="28">
        <v>-0.75</v>
      </c>
      <c r="C108" s="25" t="s">
        <v>109</v>
      </c>
      <c r="D108" s="29">
        <f t="shared" si="1"/>
        <v>0</v>
      </c>
    </row>
    <row r="109" ht="15.75" customHeight="1">
      <c r="A109" s="16" t="s">
        <v>114</v>
      </c>
      <c r="B109" s="28">
        <v>-0.75</v>
      </c>
      <c r="C109" s="25" t="s">
        <v>109</v>
      </c>
      <c r="D109" s="29">
        <f t="shared" si="1"/>
        <v>0</v>
      </c>
    </row>
    <row r="110" ht="15.75" customHeight="1">
      <c r="A110" s="16" t="s">
        <v>115</v>
      </c>
      <c r="B110" s="28">
        <v>-0.9</v>
      </c>
      <c r="C110" s="25" t="s">
        <v>109</v>
      </c>
      <c r="D110" s="29">
        <f t="shared" si="1"/>
        <v>0</v>
      </c>
    </row>
    <row r="111" ht="15.75" customHeight="1">
      <c r="A111" s="16" t="s">
        <v>116</v>
      </c>
      <c r="B111" s="28">
        <v>-0.5</v>
      </c>
      <c r="C111" s="25" t="s">
        <v>109</v>
      </c>
      <c r="D111" s="29">
        <f t="shared" si="1"/>
        <v>0</v>
      </c>
    </row>
    <row r="112" ht="15.75" customHeight="1">
      <c r="A112" s="16" t="s">
        <v>117</v>
      </c>
      <c r="B112" s="28">
        <v>-0.5</v>
      </c>
      <c r="C112" s="25" t="s">
        <v>109</v>
      </c>
      <c r="D112" s="29">
        <f t="shared" si="1"/>
        <v>0</v>
      </c>
    </row>
    <row r="113" ht="15.75" customHeight="1">
      <c r="A113" s="16" t="s">
        <v>118</v>
      </c>
      <c r="B113" s="28">
        <v>-1.0</v>
      </c>
      <c r="C113" s="25" t="s">
        <v>109</v>
      </c>
      <c r="D113" s="29">
        <f t="shared" si="1"/>
        <v>0</v>
      </c>
    </row>
    <row r="114" ht="15.75" customHeight="1">
      <c r="A114" s="16" t="s">
        <v>119</v>
      </c>
      <c r="B114" s="28">
        <v>-0.25</v>
      </c>
      <c r="C114" s="30" t="s">
        <v>97</v>
      </c>
      <c r="D114" s="29">
        <f t="shared" si="1"/>
        <v>-21.875</v>
      </c>
    </row>
    <row r="115" ht="15.75" customHeight="1">
      <c r="A115" s="16" t="s">
        <v>120</v>
      </c>
      <c r="B115" s="28">
        <v>-1.0</v>
      </c>
      <c r="C115" s="25" t="s">
        <v>109</v>
      </c>
      <c r="D115" s="29">
        <f t="shared" si="1"/>
        <v>0</v>
      </c>
    </row>
    <row r="116" ht="15.75" customHeight="1">
      <c r="A116" s="16" t="s">
        <v>121</v>
      </c>
      <c r="B116" s="28">
        <v>-1.0</v>
      </c>
      <c r="C116" s="25" t="s">
        <v>109</v>
      </c>
      <c r="D116" s="29">
        <f t="shared" si="1"/>
        <v>0</v>
      </c>
    </row>
    <row r="117" ht="15.75" customHeight="1">
      <c r="A117" s="16" t="s">
        <v>122</v>
      </c>
      <c r="B117" s="28">
        <v>-0.5</v>
      </c>
      <c r="C117" s="30" t="s">
        <v>97</v>
      </c>
      <c r="D117" s="29">
        <f t="shared" si="1"/>
        <v>-43.75</v>
      </c>
    </row>
    <row r="118" ht="15.75" customHeight="1">
      <c r="A118" s="16" t="s">
        <v>123</v>
      </c>
      <c r="B118" s="28">
        <v>-1.0</v>
      </c>
      <c r="C118" s="30" t="s">
        <v>109</v>
      </c>
      <c r="D118" s="29">
        <f t="shared" si="1"/>
        <v>0</v>
      </c>
    </row>
    <row r="119" ht="15.75" customHeight="1">
      <c r="A119" s="21" t="s">
        <v>124</v>
      </c>
      <c r="B119" s="23"/>
      <c r="C119" s="23"/>
      <c r="D119" s="24">
        <f>SUM(D104:D118)</f>
        <v>-65.625</v>
      </c>
    </row>
    <row r="120" ht="15.75" customHeight="1">
      <c r="A120" s="2"/>
      <c r="B120" s="2"/>
      <c r="C120" s="2"/>
      <c r="D120" s="2"/>
    </row>
    <row r="121" ht="21.75" customHeight="1">
      <c r="A121" s="31" t="s">
        <v>125</v>
      </c>
      <c r="B121" s="32"/>
      <c r="C121" s="32"/>
      <c r="D121" s="33">
        <f>MAX(0,ROUND($D$91+$D$119,2))</f>
        <v>21.88</v>
      </c>
    </row>
    <row r="122" ht="15.75" customHeight="1">
      <c r="A122" s="2"/>
      <c r="B122" s="2"/>
      <c r="C122" s="2"/>
      <c r="D122" s="2"/>
    </row>
    <row r="123" ht="15.75" customHeight="1">
      <c r="A123" s="4" t="s">
        <v>126</v>
      </c>
      <c r="B123" s="2"/>
      <c r="C123" s="2"/>
      <c r="D123" s="2"/>
    </row>
    <row r="124" ht="18.0" customHeight="1">
      <c r="A124" s="34"/>
      <c r="B124" s="35"/>
      <c r="C124" s="35"/>
      <c r="D124" s="36"/>
    </row>
    <row r="125" ht="18.0" customHeight="1">
      <c r="A125" s="34"/>
      <c r="B125" s="35"/>
      <c r="C125" s="35"/>
      <c r="D125" s="36"/>
    </row>
    <row r="126" ht="18.0" customHeight="1">
      <c r="A126" s="34"/>
      <c r="B126" s="35"/>
      <c r="C126" s="35"/>
      <c r="D126" s="36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37" t="s">
        <v>127</v>
      </c>
      <c r="B129" s="2"/>
      <c r="C129" s="37" t="s">
        <v>127</v>
      </c>
      <c r="D129" s="2"/>
    </row>
    <row r="130" ht="15.75" customHeight="1">
      <c r="A130" s="37" t="s">
        <v>128</v>
      </c>
      <c r="B130" s="2"/>
      <c r="C130" s="37" t="s">
        <v>129</v>
      </c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mergeCells count="6">
    <mergeCell ref="A14:D14"/>
    <mergeCell ref="A15:D15"/>
    <mergeCell ref="A16:D16"/>
    <mergeCell ref="A124:D124"/>
    <mergeCell ref="A125:D125"/>
    <mergeCell ref="A126:D126"/>
  </mergeCells>
  <conditionalFormatting sqref="D19:D90">
    <cfRule type="cellIs" dxfId="0" priority="1" operator="greaterThan">
      <formula>B19</formula>
    </cfRule>
  </conditionalFormatting>
  <dataValidations>
    <dataValidation type="list" allowBlank="1" sqref="B95:B100 C104:C118">
      <formula1>"Sí,No"</formula1>
    </dataValidation>
  </dataValidations>
  <printOptions horizontalCentered="1"/>
  <pageMargins bottom="1.0" footer="0.0" header="0.0" left="0.75" right="0.75" top="1.0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8.0" topLeftCell="A19" activePane="bottomLeft" state="frozen"/>
      <selection activeCell="B20" sqref="B20" pane="bottomLeft"/>
    </sheetView>
  </sheetViews>
  <sheetFormatPr customHeight="1" defaultColWidth="14.43" defaultRowHeight="15.0"/>
  <cols>
    <col customWidth="1" min="1" max="1" width="78.0"/>
    <col customWidth="1" min="2" max="2" width="11.0"/>
    <col customWidth="1" min="3" max="3" width="34.0"/>
    <col customWidth="1" min="4" max="4" width="11.0"/>
    <col customWidth="1" min="5" max="26" width="8.71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3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2"/>
      <c r="B7" s="2"/>
      <c r="C7" s="2"/>
      <c r="D7" s="2"/>
    </row>
    <row r="8">
      <c r="A8" s="3" t="s">
        <v>6</v>
      </c>
      <c r="B8" s="2"/>
      <c r="C8" s="2"/>
      <c r="D8" s="2"/>
    </row>
    <row r="9">
      <c r="A9" s="2"/>
      <c r="B9" s="2"/>
      <c r="C9" s="2"/>
      <c r="D9" s="2"/>
    </row>
    <row r="10">
      <c r="A10" s="4" t="s">
        <v>7</v>
      </c>
      <c r="B10" s="5"/>
      <c r="C10" s="2"/>
      <c r="D10" s="2"/>
    </row>
    <row r="11">
      <c r="A11" s="4" t="s">
        <v>8</v>
      </c>
      <c r="B11" s="6" t="s">
        <v>143</v>
      </c>
      <c r="C11" s="2"/>
      <c r="D11" s="2"/>
    </row>
    <row r="12">
      <c r="A12" s="4" t="s">
        <v>10</v>
      </c>
      <c r="B12" s="6">
        <v>2.02400482E8</v>
      </c>
      <c r="C12" s="2"/>
      <c r="D12" s="2"/>
    </row>
    <row r="13">
      <c r="A13" s="2"/>
      <c r="B13" s="2"/>
      <c r="C13" s="2"/>
      <c r="D13" s="2"/>
    </row>
    <row r="14" ht="25.5" customHeight="1">
      <c r="A14" s="8" t="s">
        <v>12</v>
      </c>
    </row>
    <row r="15" ht="25.5" customHeight="1">
      <c r="A15" s="8" t="s">
        <v>14</v>
      </c>
    </row>
    <row r="16" ht="25.5" customHeight="1">
      <c r="A16" s="8" t="s">
        <v>15</v>
      </c>
    </row>
    <row r="17">
      <c r="A17" s="2"/>
      <c r="B17" s="2"/>
      <c r="C17" s="2"/>
      <c r="D17" s="2"/>
    </row>
    <row r="18" ht="19.5" customHeight="1">
      <c r="A18" s="9" t="s">
        <v>16</v>
      </c>
      <c r="B18" s="9" t="s">
        <v>17</v>
      </c>
      <c r="C18" s="9" t="s">
        <v>18</v>
      </c>
      <c r="D18" s="9" t="s">
        <v>19</v>
      </c>
    </row>
    <row r="19" ht="19.5" customHeight="1">
      <c r="A19" s="10" t="s">
        <v>20</v>
      </c>
      <c r="B19" s="11">
        <f>B20+B25+B30</f>
        <v>25</v>
      </c>
      <c r="C19" s="10"/>
      <c r="D19" s="12">
        <f>D20+D25+D30</f>
        <v>25</v>
      </c>
    </row>
    <row r="20" ht="18.0" customHeight="1">
      <c r="A20" s="13" t="s">
        <v>21</v>
      </c>
      <c r="B20" s="14">
        <f>SUM(B21:B24)</f>
        <v>10</v>
      </c>
      <c r="C20" s="13"/>
      <c r="D20" s="15">
        <f>SUM(D21:D24)</f>
        <v>10</v>
      </c>
    </row>
    <row r="21" ht="15.0" customHeight="1">
      <c r="A21" s="16" t="s">
        <v>22</v>
      </c>
      <c r="B21" s="17">
        <v>3.0</v>
      </c>
      <c r="C21" s="18"/>
      <c r="D21" s="19">
        <v>3.0</v>
      </c>
    </row>
    <row r="22" ht="15.0" customHeight="1">
      <c r="A22" s="16" t="s">
        <v>23</v>
      </c>
      <c r="B22" s="17">
        <v>3.0</v>
      </c>
      <c r="C22" s="18"/>
      <c r="D22" s="19">
        <v>3.0</v>
      </c>
    </row>
    <row r="23" ht="15.0" customHeight="1">
      <c r="A23" s="16" t="s">
        <v>24</v>
      </c>
      <c r="B23" s="17">
        <v>2.0</v>
      </c>
      <c r="C23" s="18"/>
      <c r="D23" s="19">
        <v>2.0</v>
      </c>
    </row>
    <row r="24" ht="15.0" customHeight="1">
      <c r="A24" s="16" t="s">
        <v>25</v>
      </c>
      <c r="B24" s="17">
        <v>2.0</v>
      </c>
      <c r="C24" s="18"/>
      <c r="D24" s="19">
        <v>2.0</v>
      </c>
    </row>
    <row r="25" ht="18.0" customHeight="1">
      <c r="A25" s="13" t="s">
        <v>26</v>
      </c>
      <c r="B25" s="14">
        <f>SUM(B26:B29)</f>
        <v>10</v>
      </c>
      <c r="C25" s="13"/>
      <c r="D25" s="15">
        <f>SUM(D26:D29)</f>
        <v>10</v>
      </c>
    </row>
    <row r="26" ht="15.0" customHeight="1">
      <c r="A26" s="16" t="s">
        <v>27</v>
      </c>
      <c r="B26" s="17">
        <v>4.0</v>
      </c>
      <c r="C26" s="18"/>
      <c r="D26" s="19">
        <v>4.0</v>
      </c>
    </row>
    <row r="27" ht="15.0" customHeight="1">
      <c r="A27" s="16" t="s">
        <v>28</v>
      </c>
      <c r="B27" s="17">
        <v>2.0</v>
      </c>
      <c r="C27" s="18"/>
      <c r="D27" s="19">
        <v>2.0</v>
      </c>
    </row>
    <row r="28" ht="15.0" customHeight="1">
      <c r="A28" s="16" t="s">
        <v>29</v>
      </c>
      <c r="B28" s="17">
        <v>3.0</v>
      </c>
      <c r="C28" s="18"/>
      <c r="D28" s="19">
        <v>3.0</v>
      </c>
    </row>
    <row r="29" ht="15.0" customHeight="1">
      <c r="A29" s="16" t="s">
        <v>30</v>
      </c>
      <c r="B29" s="17">
        <v>1.0</v>
      </c>
      <c r="C29" s="18"/>
      <c r="D29" s="19">
        <v>1.0</v>
      </c>
    </row>
    <row r="30" ht="18.0" customHeight="1">
      <c r="A30" s="13" t="s">
        <v>31</v>
      </c>
      <c r="B30" s="14">
        <f>SUM(B31:B35)</f>
        <v>5</v>
      </c>
      <c r="C30" s="13"/>
      <c r="D30" s="15">
        <f>SUM(D31:D35)</f>
        <v>5</v>
      </c>
    </row>
    <row r="31" ht="15.0" customHeight="1">
      <c r="A31" s="16" t="s">
        <v>32</v>
      </c>
      <c r="B31" s="17">
        <v>1.0</v>
      </c>
      <c r="C31" s="18"/>
      <c r="D31" s="19">
        <v>1.0</v>
      </c>
    </row>
    <row r="32" ht="15.0" customHeight="1">
      <c r="A32" s="16" t="s">
        <v>33</v>
      </c>
      <c r="B32" s="17">
        <v>1.0</v>
      </c>
      <c r="C32" s="18"/>
      <c r="D32" s="19">
        <v>1.0</v>
      </c>
    </row>
    <row r="33" ht="15.0" customHeight="1">
      <c r="A33" s="16" t="s">
        <v>34</v>
      </c>
      <c r="B33" s="17">
        <v>1.0</v>
      </c>
      <c r="C33" s="18"/>
      <c r="D33" s="19">
        <v>1.0</v>
      </c>
    </row>
    <row r="34" ht="15.0" customHeight="1">
      <c r="A34" s="16" t="s">
        <v>35</v>
      </c>
      <c r="B34" s="17">
        <v>1.0</v>
      </c>
      <c r="C34" s="18"/>
      <c r="D34" s="19">
        <v>1.0</v>
      </c>
    </row>
    <row r="35" ht="15.0" customHeight="1">
      <c r="A35" s="16" t="s">
        <v>36</v>
      </c>
      <c r="B35" s="17">
        <v>1.0</v>
      </c>
      <c r="C35" s="18"/>
      <c r="D35" s="19">
        <v>1.0</v>
      </c>
    </row>
    <row r="36" ht="19.5" customHeight="1">
      <c r="A36" s="10" t="s">
        <v>37</v>
      </c>
      <c r="B36" s="11">
        <f>B37+B43+B55+B61+B67+B72+B78</f>
        <v>55</v>
      </c>
      <c r="C36" s="10"/>
      <c r="D36" s="12">
        <f>D37+D43+D55+D61+D67+D72+D78</f>
        <v>55</v>
      </c>
    </row>
    <row r="37" ht="18.0" customHeight="1">
      <c r="A37" s="13" t="s">
        <v>38</v>
      </c>
      <c r="B37" s="14">
        <f>SUM(B38:B42)</f>
        <v>5</v>
      </c>
      <c r="C37" s="13"/>
      <c r="D37" s="15">
        <f>SUM(D38:D42)</f>
        <v>5</v>
      </c>
    </row>
    <row r="38" ht="15.0" customHeight="1">
      <c r="A38" s="16" t="s">
        <v>39</v>
      </c>
      <c r="B38" s="17">
        <v>1.0</v>
      </c>
      <c r="C38" s="18"/>
      <c r="D38" s="19">
        <v>1.0</v>
      </c>
    </row>
    <row r="39" ht="15.0" customHeight="1">
      <c r="A39" s="16" t="s">
        <v>40</v>
      </c>
      <c r="B39" s="17">
        <v>1.0</v>
      </c>
      <c r="C39" s="18"/>
      <c r="D39" s="19">
        <v>1.0</v>
      </c>
    </row>
    <row r="40" ht="15.0" customHeight="1">
      <c r="A40" s="16" t="s">
        <v>41</v>
      </c>
      <c r="B40" s="17">
        <v>1.0</v>
      </c>
      <c r="C40" s="18"/>
      <c r="D40" s="19">
        <v>1.0</v>
      </c>
    </row>
    <row r="41" ht="15.0" customHeight="1">
      <c r="A41" s="16" t="s">
        <v>42</v>
      </c>
      <c r="B41" s="17">
        <v>1.0</v>
      </c>
      <c r="C41" s="18"/>
      <c r="D41" s="19">
        <v>1.0</v>
      </c>
    </row>
    <row r="42" ht="15.0" customHeight="1">
      <c r="A42" s="16" t="s">
        <v>43</v>
      </c>
      <c r="B42" s="17">
        <v>1.0</v>
      </c>
      <c r="C42" s="18"/>
      <c r="D42" s="19">
        <v>1.0</v>
      </c>
    </row>
    <row r="43" ht="18.0" customHeight="1">
      <c r="A43" s="13" t="s">
        <v>44</v>
      </c>
      <c r="B43" s="14">
        <f>SUM(B44:B54)</f>
        <v>15</v>
      </c>
      <c r="C43" s="13"/>
      <c r="D43" s="15">
        <f>SUM(D44:D54)</f>
        <v>15</v>
      </c>
    </row>
    <row r="44" ht="15.0" customHeight="1">
      <c r="A44" s="16" t="s">
        <v>45</v>
      </c>
      <c r="B44" s="17">
        <v>2.0</v>
      </c>
      <c r="C44" s="18"/>
      <c r="D44" s="19">
        <v>2.0</v>
      </c>
    </row>
    <row r="45" ht="15.0" customHeight="1">
      <c r="A45" s="16" t="s">
        <v>46</v>
      </c>
      <c r="B45" s="17">
        <v>1.0</v>
      </c>
      <c r="C45" s="18"/>
      <c r="D45" s="19">
        <v>1.0</v>
      </c>
    </row>
    <row r="46" ht="15.0" customHeight="1">
      <c r="A46" s="16" t="s">
        <v>47</v>
      </c>
      <c r="B46" s="17">
        <v>1.0</v>
      </c>
      <c r="C46" s="18"/>
      <c r="D46" s="19">
        <v>1.0</v>
      </c>
    </row>
    <row r="47" ht="15.0" customHeight="1">
      <c r="A47" s="16" t="s">
        <v>48</v>
      </c>
      <c r="B47" s="17">
        <v>1.0</v>
      </c>
      <c r="C47" s="18"/>
      <c r="D47" s="19">
        <v>1.0</v>
      </c>
    </row>
    <row r="48" ht="15.0" customHeight="1">
      <c r="A48" s="16" t="s">
        <v>49</v>
      </c>
      <c r="B48" s="17">
        <v>2.0</v>
      </c>
      <c r="C48" s="18"/>
      <c r="D48" s="19">
        <v>2.0</v>
      </c>
    </row>
    <row r="49" ht="15.0" customHeight="1">
      <c r="A49" s="16" t="s">
        <v>50</v>
      </c>
      <c r="B49" s="17">
        <v>2.0</v>
      </c>
      <c r="C49" s="18"/>
      <c r="D49" s="19">
        <v>2.0</v>
      </c>
    </row>
    <row r="50" ht="15.0" customHeight="1">
      <c r="A50" s="16" t="s">
        <v>51</v>
      </c>
      <c r="B50" s="17">
        <v>1.0</v>
      </c>
      <c r="C50" s="18"/>
      <c r="D50" s="19">
        <v>1.0</v>
      </c>
    </row>
    <row r="51" ht="15.0" customHeight="1">
      <c r="A51" s="16" t="s">
        <v>52</v>
      </c>
      <c r="B51" s="17">
        <v>1.0</v>
      </c>
      <c r="C51" s="18"/>
      <c r="D51" s="19">
        <v>1.0</v>
      </c>
    </row>
    <row r="52" ht="15.0" customHeight="1">
      <c r="A52" s="16" t="s">
        <v>53</v>
      </c>
      <c r="B52" s="17">
        <v>2.0</v>
      </c>
      <c r="C52" s="18"/>
      <c r="D52" s="19">
        <v>2.0</v>
      </c>
    </row>
    <row r="53" ht="15.0" customHeight="1">
      <c r="A53" s="16" t="s">
        <v>54</v>
      </c>
      <c r="B53" s="17">
        <v>1.0</v>
      </c>
      <c r="C53" s="18"/>
      <c r="D53" s="19">
        <v>1.0</v>
      </c>
    </row>
    <row r="54" ht="15.0" customHeight="1">
      <c r="A54" s="16" t="s">
        <v>55</v>
      </c>
      <c r="B54" s="17">
        <v>1.0</v>
      </c>
      <c r="C54" s="18"/>
      <c r="D54" s="19">
        <v>1.0</v>
      </c>
    </row>
    <row r="55" ht="18.0" customHeight="1">
      <c r="A55" s="13" t="s">
        <v>56</v>
      </c>
      <c r="B55" s="14">
        <f>SUM(B56:B60)</f>
        <v>8</v>
      </c>
      <c r="C55" s="13"/>
      <c r="D55" s="15">
        <f>SUM(D56:D60)</f>
        <v>8</v>
      </c>
    </row>
    <row r="56" ht="15.0" customHeight="1">
      <c r="A56" s="16" t="s">
        <v>57</v>
      </c>
      <c r="B56" s="17">
        <v>1.0</v>
      </c>
      <c r="C56" s="18"/>
      <c r="D56" s="19">
        <v>1.0</v>
      </c>
    </row>
    <row r="57" ht="15.0" customHeight="1">
      <c r="A57" s="16" t="s">
        <v>58</v>
      </c>
      <c r="B57" s="17">
        <v>2.0</v>
      </c>
      <c r="C57" s="18"/>
      <c r="D57" s="19">
        <v>2.0</v>
      </c>
    </row>
    <row r="58" ht="15.0" customHeight="1">
      <c r="A58" s="16" t="s">
        <v>59</v>
      </c>
      <c r="B58" s="17">
        <v>2.0</v>
      </c>
      <c r="C58" s="18"/>
      <c r="D58" s="19">
        <v>2.0</v>
      </c>
    </row>
    <row r="59" ht="15.0" customHeight="1">
      <c r="A59" s="16" t="s">
        <v>60</v>
      </c>
      <c r="B59" s="17">
        <v>2.0</v>
      </c>
      <c r="C59" s="18"/>
      <c r="D59" s="19">
        <v>2.0</v>
      </c>
    </row>
    <row r="60" ht="15.0" customHeight="1">
      <c r="A60" s="16" t="s">
        <v>61</v>
      </c>
      <c r="B60" s="17">
        <v>1.0</v>
      </c>
      <c r="C60" s="18"/>
      <c r="D60" s="19">
        <v>1.0</v>
      </c>
    </row>
    <row r="61" ht="18.0" customHeight="1">
      <c r="A61" s="13" t="s">
        <v>62</v>
      </c>
      <c r="B61" s="14">
        <f>SUM(B62:B66)</f>
        <v>8</v>
      </c>
      <c r="C61" s="13"/>
      <c r="D61" s="15">
        <f>SUM(D62:D66)</f>
        <v>8</v>
      </c>
    </row>
    <row r="62" ht="15.0" customHeight="1">
      <c r="A62" s="16" t="s">
        <v>63</v>
      </c>
      <c r="B62" s="17">
        <v>2.0</v>
      </c>
      <c r="C62" s="18"/>
      <c r="D62" s="19">
        <v>2.0</v>
      </c>
    </row>
    <row r="63" ht="15.0" customHeight="1">
      <c r="A63" s="16" t="s">
        <v>64</v>
      </c>
      <c r="B63" s="17">
        <v>2.0</v>
      </c>
      <c r="C63" s="18"/>
      <c r="D63" s="19">
        <v>2.0</v>
      </c>
    </row>
    <row r="64" ht="15.0" customHeight="1">
      <c r="A64" s="16" t="s">
        <v>65</v>
      </c>
      <c r="B64" s="17">
        <v>1.0</v>
      </c>
      <c r="C64" s="18"/>
      <c r="D64" s="19">
        <v>1.0</v>
      </c>
    </row>
    <row r="65" ht="15.0" customHeight="1">
      <c r="A65" s="16" t="s">
        <v>66</v>
      </c>
      <c r="B65" s="17">
        <v>2.0</v>
      </c>
      <c r="C65" s="18"/>
      <c r="D65" s="19">
        <v>2.0</v>
      </c>
    </row>
    <row r="66" ht="15.0" customHeight="1">
      <c r="A66" s="16" t="s">
        <v>67</v>
      </c>
      <c r="B66" s="17">
        <v>1.0</v>
      </c>
      <c r="C66" s="18"/>
      <c r="D66" s="19">
        <v>1.0</v>
      </c>
    </row>
    <row r="67" ht="18.0" customHeight="1">
      <c r="A67" s="13" t="s">
        <v>68</v>
      </c>
      <c r="B67" s="14">
        <f>SUM(B68:B71)</f>
        <v>5</v>
      </c>
      <c r="C67" s="13"/>
      <c r="D67" s="15">
        <f>SUM(D68:D71)</f>
        <v>5</v>
      </c>
    </row>
    <row r="68" ht="15.0" customHeight="1">
      <c r="A68" s="16" t="s">
        <v>69</v>
      </c>
      <c r="B68" s="17">
        <v>1.0</v>
      </c>
      <c r="C68" s="18"/>
      <c r="D68" s="19">
        <v>1.0</v>
      </c>
    </row>
    <row r="69" ht="15.0" customHeight="1">
      <c r="A69" s="16" t="s">
        <v>70</v>
      </c>
      <c r="B69" s="17">
        <v>2.0</v>
      </c>
      <c r="C69" s="18"/>
      <c r="D69" s="19">
        <v>2.0</v>
      </c>
    </row>
    <row r="70" ht="15.0" customHeight="1">
      <c r="A70" s="16" t="s">
        <v>71</v>
      </c>
      <c r="B70" s="17">
        <v>1.0</v>
      </c>
      <c r="C70" s="18"/>
      <c r="D70" s="19">
        <v>1.0</v>
      </c>
    </row>
    <row r="71" ht="15.0" customHeight="1">
      <c r="A71" s="16" t="s">
        <v>72</v>
      </c>
      <c r="B71" s="17">
        <v>1.0</v>
      </c>
      <c r="C71" s="18"/>
      <c r="D71" s="19">
        <v>1.0</v>
      </c>
    </row>
    <row r="72" ht="18.0" customHeight="1">
      <c r="A72" s="13" t="s">
        <v>73</v>
      </c>
      <c r="B72" s="14">
        <f>SUM(B73:B77)</f>
        <v>8</v>
      </c>
      <c r="C72" s="13"/>
      <c r="D72" s="15">
        <f>SUM(D73:D77)</f>
        <v>8</v>
      </c>
    </row>
    <row r="73" ht="15.0" customHeight="1">
      <c r="A73" s="16" t="s">
        <v>74</v>
      </c>
      <c r="B73" s="17">
        <v>2.0</v>
      </c>
      <c r="C73" s="18"/>
      <c r="D73" s="19">
        <v>2.0</v>
      </c>
    </row>
    <row r="74" ht="15.0" customHeight="1">
      <c r="A74" s="16" t="s">
        <v>75</v>
      </c>
      <c r="B74" s="17">
        <v>2.0</v>
      </c>
      <c r="C74" s="18"/>
      <c r="D74" s="19">
        <v>2.0</v>
      </c>
    </row>
    <row r="75" ht="15.0" customHeight="1">
      <c r="A75" s="16" t="s">
        <v>76</v>
      </c>
      <c r="B75" s="17">
        <v>1.0</v>
      </c>
      <c r="C75" s="18"/>
      <c r="D75" s="19">
        <v>1.0</v>
      </c>
    </row>
    <row r="76" ht="15.0" customHeight="1">
      <c r="A76" s="16" t="s">
        <v>77</v>
      </c>
      <c r="B76" s="17">
        <v>2.0</v>
      </c>
      <c r="C76" s="18"/>
      <c r="D76" s="19">
        <v>2.0</v>
      </c>
    </row>
    <row r="77" ht="15.0" customHeight="1">
      <c r="A77" s="16" t="s">
        <v>78</v>
      </c>
      <c r="B77" s="17">
        <v>1.0</v>
      </c>
      <c r="C77" s="18"/>
      <c r="D77" s="19">
        <v>1.0</v>
      </c>
    </row>
    <row r="78" ht="18.0" customHeight="1">
      <c r="A78" s="13" t="s">
        <v>79</v>
      </c>
      <c r="B78" s="14">
        <f>SUM(B79:B82)</f>
        <v>6</v>
      </c>
      <c r="C78" s="13"/>
      <c r="D78" s="15">
        <f>SUM(D79:D82)</f>
        <v>6</v>
      </c>
    </row>
    <row r="79" ht="15.0" customHeight="1">
      <c r="A79" s="16" t="s">
        <v>80</v>
      </c>
      <c r="B79" s="17">
        <v>2.0</v>
      </c>
      <c r="C79" s="18"/>
      <c r="D79" s="19">
        <v>2.0</v>
      </c>
    </row>
    <row r="80" ht="15.0" customHeight="1">
      <c r="A80" s="16" t="s">
        <v>81</v>
      </c>
      <c r="B80" s="17">
        <v>1.0</v>
      </c>
      <c r="C80" s="18"/>
      <c r="D80" s="19">
        <v>1.0</v>
      </c>
    </row>
    <row r="81" ht="15.0" customHeight="1">
      <c r="A81" s="16" t="s">
        <v>82</v>
      </c>
      <c r="B81" s="17">
        <v>2.0</v>
      </c>
      <c r="C81" s="18"/>
      <c r="D81" s="19">
        <v>2.0</v>
      </c>
    </row>
    <row r="82" ht="15.0" customHeight="1">
      <c r="A82" s="16" t="s">
        <v>83</v>
      </c>
      <c r="B82" s="17">
        <v>1.0</v>
      </c>
      <c r="C82" s="18"/>
      <c r="D82" s="19">
        <v>1.0</v>
      </c>
    </row>
    <row r="83" ht="19.5" customHeight="1">
      <c r="A83" s="10" t="s">
        <v>84</v>
      </c>
      <c r="B83" s="11">
        <f>B84+B87</f>
        <v>20</v>
      </c>
      <c r="C83" s="10"/>
      <c r="D83" s="12">
        <f>D84+D87</f>
        <v>8.75</v>
      </c>
    </row>
    <row r="84" ht="18.0" customHeight="1">
      <c r="A84" s="13" t="s">
        <v>85</v>
      </c>
      <c r="B84" s="14">
        <f>SUM(B85:B86)</f>
        <v>5</v>
      </c>
      <c r="C84" s="13"/>
      <c r="D84" s="15">
        <f>SUM(D85:D86)</f>
        <v>1.25</v>
      </c>
    </row>
    <row r="85" ht="15.0" customHeight="1">
      <c r="A85" s="16" t="s">
        <v>86</v>
      </c>
      <c r="B85" s="17">
        <v>2.5</v>
      </c>
      <c r="C85" s="18"/>
      <c r="D85" s="19">
        <v>0.0</v>
      </c>
    </row>
    <row r="86" ht="15.0" customHeight="1">
      <c r="A86" s="16" t="s">
        <v>87</v>
      </c>
      <c r="B86" s="17">
        <v>2.5</v>
      </c>
      <c r="C86" s="18"/>
      <c r="D86" s="19">
        <v>1.25</v>
      </c>
    </row>
    <row r="87" ht="18.0" customHeight="1">
      <c r="A87" s="13" t="s">
        <v>88</v>
      </c>
      <c r="B87" s="14">
        <f>SUM(B88:B90)</f>
        <v>15</v>
      </c>
      <c r="C87" s="13"/>
      <c r="D87" s="15">
        <f>SUM(D88:D90)</f>
        <v>7.5</v>
      </c>
    </row>
    <row r="88" ht="15.0" customHeight="1">
      <c r="A88" s="16" t="s">
        <v>89</v>
      </c>
      <c r="B88" s="17">
        <v>5.0</v>
      </c>
      <c r="C88" s="18"/>
      <c r="D88" s="19">
        <v>2.5</v>
      </c>
    </row>
    <row r="89" ht="15.0" customHeight="1">
      <c r="A89" s="16" t="s">
        <v>90</v>
      </c>
      <c r="B89" s="17">
        <v>5.0</v>
      </c>
      <c r="C89" s="18"/>
      <c r="D89" s="19">
        <v>2.5</v>
      </c>
    </row>
    <row r="90" ht="15.0" customHeight="1">
      <c r="A90" s="16" t="s">
        <v>91</v>
      </c>
      <c r="B90" s="17">
        <v>5.0</v>
      </c>
      <c r="C90" s="18"/>
      <c r="D90" s="19">
        <v>2.5</v>
      </c>
    </row>
    <row r="91" ht="19.5" customHeight="1">
      <c r="A91" s="21" t="s">
        <v>92</v>
      </c>
      <c r="B91" s="22">
        <f>B19+B36+B83</f>
        <v>100</v>
      </c>
      <c r="C91" s="23"/>
      <c r="D91" s="24">
        <f>D19+D36+D83</f>
        <v>88.75</v>
      </c>
    </row>
    <row r="92" ht="15.75" customHeight="1">
      <c r="A92" s="2"/>
      <c r="B92" s="2"/>
      <c r="C92" s="2"/>
      <c r="D92" s="2"/>
    </row>
    <row r="93" ht="15.75" customHeight="1">
      <c r="A93" s="1" t="s">
        <v>93</v>
      </c>
      <c r="B93" s="2"/>
      <c r="C93" s="2"/>
      <c r="D93" s="2"/>
    </row>
    <row r="94" ht="15.75" customHeight="1">
      <c r="A94" s="9" t="s">
        <v>94</v>
      </c>
      <c r="B94" s="9" t="s">
        <v>95</v>
      </c>
      <c r="C94" s="9" t="s">
        <v>18</v>
      </c>
      <c r="D94" s="9"/>
    </row>
    <row r="95" ht="15.75" customHeight="1">
      <c r="A95" s="16" t="s">
        <v>96</v>
      </c>
      <c r="B95" s="25" t="s">
        <v>97</v>
      </c>
      <c r="C95" s="26"/>
      <c r="D95" s="27"/>
    </row>
    <row r="96" ht="15.75" customHeight="1">
      <c r="A96" s="16" t="s">
        <v>98</v>
      </c>
      <c r="B96" s="25" t="s">
        <v>97</v>
      </c>
      <c r="C96" s="26"/>
      <c r="D96" s="27"/>
    </row>
    <row r="97" ht="15.75" customHeight="1">
      <c r="A97" s="16" t="s">
        <v>99</v>
      </c>
      <c r="B97" s="25" t="s">
        <v>97</v>
      </c>
      <c r="C97" s="26"/>
      <c r="D97" s="27"/>
    </row>
    <row r="98" ht="15.75" customHeight="1">
      <c r="A98" s="16" t="s">
        <v>100</v>
      </c>
      <c r="B98" s="25" t="s">
        <v>97</v>
      </c>
      <c r="C98" s="26"/>
      <c r="D98" s="27"/>
    </row>
    <row r="99" ht="15.75" customHeight="1">
      <c r="A99" s="16" t="s">
        <v>101</v>
      </c>
      <c r="B99" s="25" t="s">
        <v>97</v>
      </c>
      <c r="C99" s="26"/>
      <c r="D99" s="27"/>
    </row>
    <row r="100" ht="15.75" customHeight="1">
      <c r="A100" s="16" t="s">
        <v>102</v>
      </c>
      <c r="B100" s="25" t="s">
        <v>97</v>
      </c>
      <c r="C100" s="26"/>
      <c r="D100" s="27"/>
    </row>
    <row r="101" ht="15.75" customHeight="1">
      <c r="A101" s="2"/>
      <c r="B101" s="2"/>
      <c r="C101" s="2"/>
      <c r="D101" s="2"/>
    </row>
    <row r="102" ht="15.75" customHeight="1">
      <c r="A102" s="1" t="s">
        <v>103</v>
      </c>
      <c r="B102" s="2"/>
      <c r="C102" s="2"/>
      <c r="D102" s="2"/>
    </row>
    <row r="103" ht="15.75" customHeight="1">
      <c r="A103" s="9" t="s">
        <v>104</v>
      </c>
      <c r="B103" s="9" t="s">
        <v>105</v>
      </c>
      <c r="C103" s="9" t="s">
        <v>106</v>
      </c>
      <c r="D103" s="9" t="s">
        <v>107</v>
      </c>
    </row>
    <row r="104" ht="15.75" customHeight="1">
      <c r="A104" s="16" t="s">
        <v>108</v>
      </c>
      <c r="B104" s="28">
        <v>-0.3</v>
      </c>
      <c r="C104" s="25" t="s">
        <v>109</v>
      </c>
      <c r="D104" s="29">
        <f t="shared" ref="D104:D118" si="1">IF(C104="Sí",$D$91*B104,0)</f>
        <v>0</v>
      </c>
    </row>
    <row r="105" ht="15.75" customHeight="1">
      <c r="A105" s="16" t="s">
        <v>110</v>
      </c>
      <c r="B105" s="28">
        <v>-0.2</v>
      </c>
      <c r="C105" s="25" t="s">
        <v>109</v>
      </c>
      <c r="D105" s="29">
        <f t="shared" si="1"/>
        <v>0</v>
      </c>
    </row>
    <row r="106" ht="15.75" customHeight="1">
      <c r="A106" s="16" t="s">
        <v>111</v>
      </c>
      <c r="B106" s="28">
        <v>-1.0</v>
      </c>
      <c r="C106" s="25" t="s">
        <v>109</v>
      </c>
      <c r="D106" s="29">
        <f t="shared" si="1"/>
        <v>0</v>
      </c>
    </row>
    <row r="107" ht="15.75" customHeight="1">
      <c r="A107" s="16" t="s">
        <v>112</v>
      </c>
      <c r="B107" s="28">
        <v>-1.0</v>
      </c>
      <c r="C107" s="25" t="s">
        <v>109</v>
      </c>
      <c r="D107" s="29">
        <f t="shared" si="1"/>
        <v>0</v>
      </c>
    </row>
    <row r="108" ht="15.75" customHeight="1">
      <c r="A108" s="16" t="s">
        <v>113</v>
      </c>
      <c r="B108" s="28">
        <v>-0.75</v>
      </c>
      <c r="C108" s="25" t="s">
        <v>109</v>
      </c>
      <c r="D108" s="29">
        <f t="shared" si="1"/>
        <v>0</v>
      </c>
    </row>
    <row r="109" ht="15.75" customHeight="1">
      <c r="A109" s="16" t="s">
        <v>114</v>
      </c>
      <c r="B109" s="28">
        <v>-0.75</v>
      </c>
      <c r="C109" s="25" t="s">
        <v>109</v>
      </c>
      <c r="D109" s="29">
        <f t="shared" si="1"/>
        <v>0</v>
      </c>
    </row>
    <row r="110" ht="15.75" customHeight="1">
      <c r="A110" s="16" t="s">
        <v>115</v>
      </c>
      <c r="B110" s="28">
        <v>-0.9</v>
      </c>
      <c r="C110" s="25" t="s">
        <v>109</v>
      </c>
      <c r="D110" s="29">
        <f t="shared" si="1"/>
        <v>0</v>
      </c>
    </row>
    <row r="111" ht="15.75" customHeight="1">
      <c r="A111" s="16" t="s">
        <v>116</v>
      </c>
      <c r="B111" s="28">
        <v>-0.5</v>
      </c>
      <c r="C111" s="25" t="s">
        <v>109</v>
      </c>
      <c r="D111" s="29">
        <f t="shared" si="1"/>
        <v>0</v>
      </c>
    </row>
    <row r="112" ht="15.75" customHeight="1">
      <c r="A112" s="16" t="s">
        <v>117</v>
      </c>
      <c r="B112" s="28">
        <v>-0.5</v>
      </c>
      <c r="C112" s="25" t="s">
        <v>109</v>
      </c>
      <c r="D112" s="29">
        <f t="shared" si="1"/>
        <v>0</v>
      </c>
    </row>
    <row r="113" ht="15.75" customHeight="1">
      <c r="A113" s="16" t="s">
        <v>118</v>
      </c>
      <c r="B113" s="28">
        <v>-1.0</v>
      </c>
      <c r="C113" s="25" t="s">
        <v>109</v>
      </c>
      <c r="D113" s="29">
        <f t="shared" si="1"/>
        <v>0</v>
      </c>
    </row>
    <row r="114" ht="15.75" customHeight="1">
      <c r="A114" s="16" t="s">
        <v>119</v>
      </c>
      <c r="B114" s="28">
        <v>-0.25</v>
      </c>
      <c r="C114" s="25" t="s">
        <v>109</v>
      </c>
      <c r="D114" s="29">
        <f t="shared" si="1"/>
        <v>0</v>
      </c>
    </row>
    <row r="115" ht="15.75" customHeight="1">
      <c r="A115" s="16" t="s">
        <v>120</v>
      </c>
      <c r="B115" s="28">
        <v>-1.0</v>
      </c>
      <c r="C115" s="25" t="s">
        <v>109</v>
      </c>
      <c r="D115" s="29">
        <f t="shared" si="1"/>
        <v>0</v>
      </c>
    </row>
    <row r="116" ht="15.75" customHeight="1">
      <c r="A116" s="16" t="s">
        <v>121</v>
      </c>
      <c r="B116" s="28">
        <v>-1.0</v>
      </c>
      <c r="C116" s="25" t="s">
        <v>109</v>
      </c>
      <c r="D116" s="29">
        <f t="shared" si="1"/>
        <v>0</v>
      </c>
    </row>
    <row r="117" ht="15.75" customHeight="1">
      <c r="A117" s="16" t="s">
        <v>122</v>
      </c>
      <c r="B117" s="28">
        <v>-0.5</v>
      </c>
      <c r="C117" s="25" t="s">
        <v>109</v>
      </c>
      <c r="D117" s="29">
        <f t="shared" si="1"/>
        <v>0</v>
      </c>
    </row>
    <row r="118" ht="15.75" customHeight="1">
      <c r="A118" s="16" t="s">
        <v>123</v>
      </c>
      <c r="B118" s="28">
        <v>-1.0</v>
      </c>
      <c r="C118" s="25" t="s">
        <v>109</v>
      </c>
      <c r="D118" s="29">
        <f t="shared" si="1"/>
        <v>0</v>
      </c>
    </row>
    <row r="119" ht="15.75" customHeight="1">
      <c r="A119" s="21" t="s">
        <v>124</v>
      </c>
      <c r="B119" s="23"/>
      <c r="C119" s="23"/>
      <c r="D119" s="24">
        <f>SUM(D104:D118)</f>
        <v>0</v>
      </c>
    </row>
    <row r="120" ht="15.75" customHeight="1">
      <c r="A120" s="2"/>
      <c r="B120" s="2"/>
      <c r="C120" s="2"/>
      <c r="D120" s="2"/>
    </row>
    <row r="121" ht="21.75" customHeight="1">
      <c r="A121" s="31" t="s">
        <v>125</v>
      </c>
      <c r="B121" s="32"/>
      <c r="C121" s="32"/>
      <c r="D121" s="33">
        <f>MAX(0,ROUND($D$91+$D$119,2))</f>
        <v>88.75</v>
      </c>
    </row>
    <row r="122" ht="15.75" customHeight="1">
      <c r="A122" s="2"/>
      <c r="B122" s="2"/>
      <c r="C122" s="2"/>
      <c r="D122" s="2"/>
    </row>
    <row r="123" ht="15.75" customHeight="1">
      <c r="A123" s="4" t="s">
        <v>126</v>
      </c>
      <c r="B123" s="2"/>
      <c r="C123" s="2"/>
      <c r="D123" s="2"/>
    </row>
    <row r="124" ht="18.0" customHeight="1">
      <c r="A124" s="34"/>
      <c r="B124" s="35"/>
      <c r="C124" s="35"/>
      <c r="D124" s="36"/>
    </row>
    <row r="125" ht="18.0" customHeight="1">
      <c r="A125" s="34"/>
      <c r="B125" s="35"/>
      <c r="C125" s="35"/>
      <c r="D125" s="36"/>
    </row>
    <row r="126" ht="18.0" customHeight="1">
      <c r="A126" s="34"/>
      <c r="B126" s="35"/>
      <c r="C126" s="35"/>
      <c r="D126" s="36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37" t="s">
        <v>127</v>
      </c>
      <c r="B129" s="2"/>
      <c r="C129" s="37" t="s">
        <v>127</v>
      </c>
      <c r="D129" s="2"/>
    </row>
    <row r="130" ht="15.75" customHeight="1">
      <c r="A130" s="37" t="s">
        <v>128</v>
      </c>
      <c r="B130" s="2"/>
      <c r="C130" s="37" t="s">
        <v>129</v>
      </c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mergeCells count="6">
    <mergeCell ref="A14:D14"/>
    <mergeCell ref="A15:D15"/>
    <mergeCell ref="A16:D16"/>
    <mergeCell ref="A124:D124"/>
    <mergeCell ref="A125:D125"/>
    <mergeCell ref="A126:D126"/>
  </mergeCells>
  <conditionalFormatting sqref="D19:D90">
    <cfRule type="cellIs" dxfId="0" priority="1" operator="greaterThan">
      <formula>B19</formula>
    </cfRule>
  </conditionalFormatting>
  <dataValidations>
    <dataValidation type="list" allowBlank="1" sqref="B95:B100 C104:C118">
      <formula1>"Sí,No"</formula1>
    </dataValidation>
  </dataValidations>
  <printOptions horizontalCentered="1"/>
  <pageMargins bottom="1.0" footer="0.0" header="0.0" left="0.75" right="0.75" top="1.0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8.0" topLeftCell="A19" activePane="bottomLeft" state="frozen"/>
      <selection activeCell="B20" sqref="B20" pane="bottomLeft"/>
    </sheetView>
  </sheetViews>
  <sheetFormatPr customHeight="1" defaultColWidth="14.43" defaultRowHeight="15.0"/>
  <cols>
    <col customWidth="1" min="1" max="1" width="78.0"/>
    <col customWidth="1" min="2" max="2" width="11.0"/>
    <col customWidth="1" min="3" max="3" width="34.0"/>
    <col customWidth="1" min="4" max="4" width="11.0"/>
    <col customWidth="1" min="5" max="26" width="8.71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3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2"/>
      <c r="B7" s="2"/>
      <c r="C7" s="2"/>
      <c r="D7" s="2"/>
    </row>
    <row r="8">
      <c r="A8" s="3" t="s">
        <v>6</v>
      </c>
      <c r="B8" s="2"/>
      <c r="C8" s="2"/>
      <c r="D8" s="2"/>
    </row>
    <row r="9">
      <c r="A9" s="2"/>
      <c r="B9" s="2"/>
      <c r="C9" s="2"/>
      <c r="D9" s="2"/>
    </row>
    <row r="10">
      <c r="A10" s="4" t="s">
        <v>7</v>
      </c>
      <c r="B10" s="5"/>
      <c r="C10" s="2"/>
      <c r="D10" s="2"/>
    </row>
    <row r="11">
      <c r="A11" s="4" t="s">
        <v>8</v>
      </c>
      <c r="B11" s="6" t="s">
        <v>144</v>
      </c>
      <c r="C11" s="2"/>
      <c r="D11" s="2"/>
    </row>
    <row r="12">
      <c r="A12" s="4" t="s">
        <v>10</v>
      </c>
      <c r="B12" s="6">
        <v>2.0250147E8</v>
      </c>
      <c r="C12" s="2"/>
      <c r="D12" s="2"/>
    </row>
    <row r="13">
      <c r="A13" s="2"/>
      <c r="B13" s="2"/>
      <c r="C13" s="2"/>
      <c r="D13" s="2"/>
    </row>
    <row r="14" ht="25.5" customHeight="1">
      <c r="A14" s="8" t="s">
        <v>12</v>
      </c>
    </row>
    <row r="15" ht="25.5" customHeight="1">
      <c r="A15" s="8" t="s">
        <v>14</v>
      </c>
    </row>
    <row r="16" ht="25.5" customHeight="1">
      <c r="A16" s="8" t="s">
        <v>15</v>
      </c>
    </row>
    <row r="17">
      <c r="A17" s="2"/>
      <c r="B17" s="2"/>
      <c r="C17" s="2"/>
      <c r="D17" s="2"/>
    </row>
    <row r="18" ht="19.5" customHeight="1">
      <c r="A18" s="9" t="s">
        <v>16</v>
      </c>
      <c r="B18" s="9" t="s">
        <v>17</v>
      </c>
      <c r="C18" s="9" t="s">
        <v>18</v>
      </c>
      <c r="D18" s="9" t="s">
        <v>19</v>
      </c>
    </row>
    <row r="19" ht="19.5" customHeight="1">
      <c r="A19" s="10" t="s">
        <v>20</v>
      </c>
      <c r="B19" s="11">
        <f>B20+B25+B30</f>
        <v>25</v>
      </c>
      <c r="C19" s="10"/>
      <c r="D19" s="12">
        <f>D20+D25+D30</f>
        <v>25</v>
      </c>
    </row>
    <row r="20" ht="18.0" customHeight="1">
      <c r="A20" s="13" t="s">
        <v>21</v>
      </c>
      <c r="B20" s="14">
        <f>SUM(B21:B24)</f>
        <v>10</v>
      </c>
      <c r="C20" s="13"/>
      <c r="D20" s="15">
        <f>SUM(D21:D24)</f>
        <v>10</v>
      </c>
    </row>
    <row r="21" ht="15.0" customHeight="1">
      <c r="A21" s="16" t="s">
        <v>22</v>
      </c>
      <c r="B21" s="17">
        <v>3.0</v>
      </c>
      <c r="C21" s="18"/>
      <c r="D21" s="19">
        <v>3.0</v>
      </c>
    </row>
    <row r="22" ht="15.0" customHeight="1">
      <c r="A22" s="16" t="s">
        <v>23</v>
      </c>
      <c r="B22" s="17">
        <v>3.0</v>
      </c>
      <c r="C22" s="18"/>
      <c r="D22" s="19">
        <v>3.0</v>
      </c>
    </row>
    <row r="23" ht="15.0" customHeight="1">
      <c r="A23" s="16" t="s">
        <v>24</v>
      </c>
      <c r="B23" s="17">
        <v>2.0</v>
      </c>
      <c r="C23" s="18"/>
      <c r="D23" s="19">
        <v>2.0</v>
      </c>
    </row>
    <row r="24" ht="15.0" customHeight="1">
      <c r="A24" s="16" t="s">
        <v>25</v>
      </c>
      <c r="B24" s="17">
        <v>2.0</v>
      </c>
      <c r="C24" s="18"/>
      <c r="D24" s="19">
        <v>2.0</v>
      </c>
    </row>
    <row r="25" ht="18.0" customHeight="1">
      <c r="A25" s="13" t="s">
        <v>26</v>
      </c>
      <c r="B25" s="14">
        <f>SUM(B26:B29)</f>
        <v>10</v>
      </c>
      <c r="C25" s="13"/>
      <c r="D25" s="15">
        <f>SUM(D26:D29)</f>
        <v>10</v>
      </c>
    </row>
    <row r="26" ht="15.0" customHeight="1">
      <c r="A26" s="16" t="s">
        <v>27</v>
      </c>
      <c r="B26" s="17">
        <v>4.0</v>
      </c>
      <c r="C26" s="18"/>
      <c r="D26" s="19">
        <v>4.0</v>
      </c>
    </row>
    <row r="27" ht="15.0" customHeight="1">
      <c r="A27" s="16" t="s">
        <v>28</v>
      </c>
      <c r="B27" s="17">
        <v>2.0</v>
      </c>
      <c r="C27" s="18"/>
      <c r="D27" s="19">
        <v>2.0</v>
      </c>
    </row>
    <row r="28" ht="15.0" customHeight="1">
      <c r="A28" s="16" t="s">
        <v>29</v>
      </c>
      <c r="B28" s="17">
        <v>3.0</v>
      </c>
      <c r="C28" s="18"/>
      <c r="D28" s="19">
        <v>3.0</v>
      </c>
    </row>
    <row r="29" ht="15.0" customHeight="1">
      <c r="A29" s="16" t="s">
        <v>30</v>
      </c>
      <c r="B29" s="17">
        <v>1.0</v>
      </c>
      <c r="C29" s="18"/>
      <c r="D29" s="19">
        <v>1.0</v>
      </c>
    </row>
    <row r="30" ht="18.0" customHeight="1">
      <c r="A30" s="13" t="s">
        <v>31</v>
      </c>
      <c r="B30" s="14">
        <f>SUM(B31:B35)</f>
        <v>5</v>
      </c>
      <c r="C30" s="13"/>
      <c r="D30" s="15">
        <f>SUM(D31:D35)</f>
        <v>5</v>
      </c>
    </row>
    <row r="31" ht="15.0" customHeight="1">
      <c r="A31" s="16" t="s">
        <v>32</v>
      </c>
      <c r="B31" s="17">
        <v>1.0</v>
      </c>
      <c r="C31" s="18"/>
      <c r="D31" s="19">
        <v>1.0</v>
      </c>
    </row>
    <row r="32" ht="15.0" customHeight="1">
      <c r="A32" s="16" t="s">
        <v>33</v>
      </c>
      <c r="B32" s="17">
        <v>1.0</v>
      </c>
      <c r="C32" s="18"/>
      <c r="D32" s="19">
        <v>1.0</v>
      </c>
    </row>
    <row r="33" ht="15.0" customHeight="1">
      <c r="A33" s="16" t="s">
        <v>34</v>
      </c>
      <c r="B33" s="17">
        <v>1.0</v>
      </c>
      <c r="C33" s="18"/>
      <c r="D33" s="19">
        <v>1.0</v>
      </c>
    </row>
    <row r="34" ht="15.0" customHeight="1">
      <c r="A34" s="16" t="s">
        <v>35</v>
      </c>
      <c r="B34" s="17">
        <v>1.0</v>
      </c>
      <c r="C34" s="18"/>
      <c r="D34" s="19">
        <v>1.0</v>
      </c>
    </row>
    <row r="35" ht="15.0" customHeight="1">
      <c r="A35" s="16" t="s">
        <v>36</v>
      </c>
      <c r="B35" s="17">
        <v>1.0</v>
      </c>
      <c r="C35" s="18"/>
      <c r="D35" s="19">
        <v>1.0</v>
      </c>
    </row>
    <row r="36" ht="19.5" customHeight="1">
      <c r="A36" s="10" t="s">
        <v>37</v>
      </c>
      <c r="B36" s="11">
        <f>B37+B43+B55+B61+B67+B72+B78</f>
        <v>55</v>
      </c>
      <c r="C36" s="10"/>
      <c r="D36" s="12">
        <f>D37+D43+D55+D61+D67+D72+D78</f>
        <v>55</v>
      </c>
    </row>
    <row r="37" ht="18.0" customHeight="1">
      <c r="A37" s="13" t="s">
        <v>38</v>
      </c>
      <c r="B37" s="14">
        <f>SUM(B38:B42)</f>
        <v>5</v>
      </c>
      <c r="C37" s="13"/>
      <c r="D37" s="15">
        <f>SUM(D38:D42)</f>
        <v>5</v>
      </c>
    </row>
    <row r="38" ht="15.0" customHeight="1">
      <c r="A38" s="16" t="s">
        <v>39</v>
      </c>
      <c r="B38" s="17">
        <v>1.0</v>
      </c>
      <c r="C38" s="18"/>
      <c r="D38" s="19">
        <v>1.0</v>
      </c>
    </row>
    <row r="39" ht="15.0" customHeight="1">
      <c r="A39" s="16" t="s">
        <v>40</v>
      </c>
      <c r="B39" s="17">
        <v>1.0</v>
      </c>
      <c r="C39" s="18"/>
      <c r="D39" s="19">
        <v>1.0</v>
      </c>
    </row>
    <row r="40" ht="15.0" customHeight="1">
      <c r="A40" s="16" t="s">
        <v>41</v>
      </c>
      <c r="B40" s="17">
        <v>1.0</v>
      </c>
      <c r="C40" s="18"/>
      <c r="D40" s="19">
        <v>1.0</v>
      </c>
    </row>
    <row r="41" ht="15.0" customHeight="1">
      <c r="A41" s="16" t="s">
        <v>42</v>
      </c>
      <c r="B41" s="17">
        <v>1.0</v>
      </c>
      <c r="C41" s="18"/>
      <c r="D41" s="19">
        <v>1.0</v>
      </c>
    </row>
    <row r="42" ht="15.0" customHeight="1">
      <c r="A42" s="16" t="s">
        <v>43</v>
      </c>
      <c r="B42" s="17">
        <v>1.0</v>
      </c>
      <c r="C42" s="18"/>
      <c r="D42" s="19">
        <v>1.0</v>
      </c>
    </row>
    <row r="43" ht="18.0" customHeight="1">
      <c r="A43" s="13" t="s">
        <v>44</v>
      </c>
      <c r="B43" s="14">
        <f>SUM(B44:B54)</f>
        <v>15</v>
      </c>
      <c r="C43" s="13"/>
      <c r="D43" s="15">
        <f>SUM(D44:D54)</f>
        <v>15</v>
      </c>
    </row>
    <row r="44" ht="15.0" customHeight="1">
      <c r="A44" s="16" t="s">
        <v>45</v>
      </c>
      <c r="B44" s="17">
        <v>2.0</v>
      </c>
      <c r="C44" s="18"/>
      <c r="D44" s="19">
        <v>2.0</v>
      </c>
    </row>
    <row r="45" ht="15.0" customHeight="1">
      <c r="A45" s="16" t="s">
        <v>46</v>
      </c>
      <c r="B45" s="17">
        <v>1.0</v>
      </c>
      <c r="C45" s="18"/>
      <c r="D45" s="19">
        <v>1.0</v>
      </c>
    </row>
    <row r="46" ht="15.0" customHeight="1">
      <c r="A46" s="16" t="s">
        <v>47</v>
      </c>
      <c r="B46" s="17">
        <v>1.0</v>
      </c>
      <c r="C46" s="18"/>
      <c r="D46" s="19">
        <v>1.0</v>
      </c>
    </row>
    <row r="47" ht="15.0" customHeight="1">
      <c r="A47" s="16" t="s">
        <v>48</v>
      </c>
      <c r="B47" s="17">
        <v>1.0</v>
      </c>
      <c r="C47" s="18"/>
      <c r="D47" s="19">
        <v>1.0</v>
      </c>
    </row>
    <row r="48" ht="15.0" customHeight="1">
      <c r="A48" s="16" t="s">
        <v>49</v>
      </c>
      <c r="B48" s="17">
        <v>2.0</v>
      </c>
      <c r="C48" s="18"/>
      <c r="D48" s="19">
        <v>2.0</v>
      </c>
    </row>
    <row r="49" ht="15.0" customHeight="1">
      <c r="A49" s="16" t="s">
        <v>50</v>
      </c>
      <c r="B49" s="17">
        <v>2.0</v>
      </c>
      <c r="C49" s="18"/>
      <c r="D49" s="19">
        <v>2.0</v>
      </c>
    </row>
    <row r="50" ht="15.0" customHeight="1">
      <c r="A50" s="16" t="s">
        <v>51</v>
      </c>
      <c r="B50" s="17">
        <v>1.0</v>
      </c>
      <c r="C50" s="18"/>
      <c r="D50" s="19">
        <v>1.0</v>
      </c>
    </row>
    <row r="51" ht="15.0" customHeight="1">
      <c r="A51" s="16" t="s">
        <v>52</v>
      </c>
      <c r="B51" s="17">
        <v>1.0</v>
      </c>
      <c r="C51" s="18"/>
      <c r="D51" s="19">
        <v>1.0</v>
      </c>
    </row>
    <row r="52" ht="15.0" customHeight="1">
      <c r="A52" s="16" t="s">
        <v>53</v>
      </c>
      <c r="B52" s="17">
        <v>2.0</v>
      </c>
      <c r="C52" s="18"/>
      <c r="D52" s="19">
        <v>2.0</v>
      </c>
    </row>
    <row r="53" ht="15.0" customHeight="1">
      <c r="A53" s="16" t="s">
        <v>54</v>
      </c>
      <c r="B53" s="17">
        <v>1.0</v>
      </c>
      <c r="C53" s="18"/>
      <c r="D53" s="19">
        <v>1.0</v>
      </c>
    </row>
    <row r="54" ht="15.0" customHeight="1">
      <c r="A54" s="16" t="s">
        <v>55</v>
      </c>
      <c r="B54" s="17">
        <v>1.0</v>
      </c>
      <c r="C54" s="18"/>
      <c r="D54" s="19">
        <v>1.0</v>
      </c>
    </row>
    <row r="55" ht="18.0" customHeight="1">
      <c r="A55" s="13" t="s">
        <v>56</v>
      </c>
      <c r="B55" s="14">
        <f>SUM(B56:B60)</f>
        <v>8</v>
      </c>
      <c r="C55" s="13"/>
      <c r="D55" s="15">
        <f>SUM(D56:D60)</f>
        <v>8</v>
      </c>
    </row>
    <row r="56" ht="15.0" customHeight="1">
      <c r="A56" s="16" t="s">
        <v>57</v>
      </c>
      <c r="B56" s="17">
        <v>1.0</v>
      </c>
      <c r="C56" s="18"/>
      <c r="D56" s="19">
        <v>1.0</v>
      </c>
    </row>
    <row r="57" ht="15.0" customHeight="1">
      <c r="A57" s="16" t="s">
        <v>58</v>
      </c>
      <c r="B57" s="17">
        <v>2.0</v>
      </c>
      <c r="C57" s="18"/>
      <c r="D57" s="19">
        <v>2.0</v>
      </c>
    </row>
    <row r="58" ht="15.0" customHeight="1">
      <c r="A58" s="16" t="s">
        <v>59</v>
      </c>
      <c r="B58" s="17">
        <v>2.0</v>
      </c>
      <c r="C58" s="18"/>
      <c r="D58" s="19">
        <v>2.0</v>
      </c>
    </row>
    <row r="59" ht="15.0" customHeight="1">
      <c r="A59" s="16" t="s">
        <v>60</v>
      </c>
      <c r="B59" s="17">
        <v>2.0</v>
      </c>
      <c r="C59" s="18"/>
      <c r="D59" s="19">
        <v>2.0</v>
      </c>
    </row>
    <row r="60" ht="15.0" customHeight="1">
      <c r="A60" s="16" t="s">
        <v>61</v>
      </c>
      <c r="B60" s="17">
        <v>1.0</v>
      </c>
      <c r="C60" s="18"/>
      <c r="D60" s="19">
        <v>1.0</v>
      </c>
    </row>
    <row r="61" ht="18.0" customHeight="1">
      <c r="A61" s="13" t="s">
        <v>62</v>
      </c>
      <c r="B61" s="14">
        <f>SUM(B62:B66)</f>
        <v>8</v>
      </c>
      <c r="C61" s="13"/>
      <c r="D61" s="15">
        <f>SUM(D62:D66)</f>
        <v>8</v>
      </c>
    </row>
    <row r="62" ht="15.0" customHeight="1">
      <c r="A62" s="16" t="s">
        <v>63</v>
      </c>
      <c r="B62" s="17">
        <v>2.0</v>
      </c>
      <c r="C62" s="18"/>
      <c r="D62" s="19">
        <v>2.0</v>
      </c>
    </row>
    <row r="63" ht="15.0" customHeight="1">
      <c r="A63" s="16" t="s">
        <v>64</v>
      </c>
      <c r="B63" s="17">
        <v>2.0</v>
      </c>
      <c r="C63" s="18"/>
      <c r="D63" s="19">
        <v>2.0</v>
      </c>
    </row>
    <row r="64" ht="15.0" customHeight="1">
      <c r="A64" s="16" t="s">
        <v>65</v>
      </c>
      <c r="B64" s="17">
        <v>1.0</v>
      </c>
      <c r="C64" s="18"/>
      <c r="D64" s="19">
        <v>1.0</v>
      </c>
    </row>
    <row r="65" ht="15.0" customHeight="1">
      <c r="A65" s="16" t="s">
        <v>66</v>
      </c>
      <c r="B65" s="17">
        <v>2.0</v>
      </c>
      <c r="C65" s="18"/>
      <c r="D65" s="19">
        <v>2.0</v>
      </c>
    </row>
    <row r="66" ht="15.0" customHeight="1">
      <c r="A66" s="16" t="s">
        <v>67</v>
      </c>
      <c r="B66" s="17">
        <v>1.0</v>
      </c>
      <c r="C66" s="18"/>
      <c r="D66" s="19">
        <v>1.0</v>
      </c>
    </row>
    <row r="67" ht="18.0" customHeight="1">
      <c r="A67" s="13" t="s">
        <v>68</v>
      </c>
      <c r="B67" s="14">
        <f>SUM(B68:B71)</f>
        <v>5</v>
      </c>
      <c r="C67" s="13"/>
      <c r="D67" s="15">
        <f>SUM(D68:D71)</f>
        <v>5</v>
      </c>
    </row>
    <row r="68" ht="15.0" customHeight="1">
      <c r="A68" s="16" t="s">
        <v>69</v>
      </c>
      <c r="B68" s="17">
        <v>1.0</v>
      </c>
      <c r="C68" s="18"/>
      <c r="D68" s="19">
        <v>1.0</v>
      </c>
    </row>
    <row r="69" ht="15.0" customHeight="1">
      <c r="A69" s="16" t="s">
        <v>70</v>
      </c>
      <c r="B69" s="17">
        <v>2.0</v>
      </c>
      <c r="C69" s="18"/>
      <c r="D69" s="19">
        <v>2.0</v>
      </c>
    </row>
    <row r="70" ht="15.0" customHeight="1">
      <c r="A70" s="16" t="s">
        <v>71</v>
      </c>
      <c r="B70" s="17">
        <v>1.0</v>
      </c>
      <c r="C70" s="18"/>
      <c r="D70" s="19">
        <v>1.0</v>
      </c>
    </row>
    <row r="71" ht="15.0" customHeight="1">
      <c r="A71" s="16" t="s">
        <v>72</v>
      </c>
      <c r="B71" s="17">
        <v>1.0</v>
      </c>
      <c r="C71" s="18"/>
      <c r="D71" s="19">
        <v>1.0</v>
      </c>
    </row>
    <row r="72" ht="18.0" customHeight="1">
      <c r="A72" s="13" t="s">
        <v>73</v>
      </c>
      <c r="B72" s="14">
        <f>SUM(B73:B77)</f>
        <v>8</v>
      </c>
      <c r="C72" s="13"/>
      <c r="D72" s="15">
        <f>SUM(D73:D77)</f>
        <v>8</v>
      </c>
    </row>
    <row r="73" ht="15.0" customHeight="1">
      <c r="A73" s="16" t="s">
        <v>74</v>
      </c>
      <c r="B73" s="17">
        <v>2.0</v>
      </c>
      <c r="C73" s="18"/>
      <c r="D73" s="19">
        <v>2.0</v>
      </c>
    </row>
    <row r="74" ht="15.0" customHeight="1">
      <c r="A74" s="16" t="s">
        <v>75</v>
      </c>
      <c r="B74" s="17">
        <v>2.0</v>
      </c>
      <c r="C74" s="18"/>
      <c r="D74" s="19">
        <v>2.0</v>
      </c>
    </row>
    <row r="75" ht="15.0" customHeight="1">
      <c r="A75" s="16" t="s">
        <v>76</v>
      </c>
      <c r="B75" s="17">
        <v>1.0</v>
      </c>
      <c r="C75" s="18"/>
      <c r="D75" s="19">
        <v>1.0</v>
      </c>
    </row>
    <row r="76" ht="15.0" customHeight="1">
      <c r="A76" s="16" t="s">
        <v>77</v>
      </c>
      <c r="B76" s="17">
        <v>2.0</v>
      </c>
      <c r="C76" s="18"/>
      <c r="D76" s="19">
        <v>2.0</v>
      </c>
    </row>
    <row r="77" ht="15.0" customHeight="1">
      <c r="A77" s="16" t="s">
        <v>78</v>
      </c>
      <c r="B77" s="17">
        <v>1.0</v>
      </c>
      <c r="C77" s="18"/>
      <c r="D77" s="19">
        <v>1.0</v>
      </c>
    </row>
    <row r="78" ht="18.0" customHeight="1">
      <c r="A78" s="13" t="s">
        <v>79</v>
      </c>
      <c r="B78" s="14">
        <f>SUM(B79:B82)</f>
        <v>6</v>
      </c>
      <c r="C78" s="13"/>
      <c r="D78" s="15">
        <f>SUM(D79:D82)</f>
        <v>6</v>
      </c>
    </row>
    <row r="79" ht="15.0" customHeight="1">
      <c r="A79" s="16" t="s">
        <v>80</v>
      </c>
      <c r="B79" s="17">
        <v>2.0</v>
      </c>
      <c r="C79" s="18"/>
      <c r="D79" s="19">
        <v>2.0</v>
      </c>
    </row>
    <row r="80" ht="15.0" customHeight="1">
      <c r="A80" s="16" t="s">
        <v>81</v>
      </c>
      <c r="B80" s="17">
        <v>1.0</v>
      </c>
      <c r="C80" s="18"/>
      <c r="D80" s="19">
        <v>1.0</v>
      </c>
    </row>
    <row r="81" ht="15.0" customHeight="1">
      <c r="A81" s="16" t="s">
        <v>82</v>
      </c>
      <c r="B81" s="17">
        <v>2.0</v>
      </c>
      <c r="C81" s="18"/>
      <c r="D81" s="19">
        <v>2.0</v>
      </c>
    </row>
    <row r="82" ht="15.0" customHeight="1">
      <c r="A82" s="16" t="s">
        <v>83</v>
      </c>
      <c r="B82" s="17">
        <v>1.0</v>
      </c>
      <c r="C82" s="18"/>
      <c r="D82" s="19">
        <v>1.0</v>
      </c>
    </row>
    <row r="83" ht="19.5" customHeight="1">
      <c r="A83" s="10" t="s">
        <v>84</v>
      </c>
      <c r="B83" s="11">
        <f>B84+B87</f>
        <v>20</v>
      </c>
      <c r="C83" s="10"/>
      <c r="D83" s="12">
        <f>D84+D87</f>
        <v>2.5</v>
      </c>
    </row>
    <row r="84" ht="18.0" customHeight="1">
      <c r="A84" s="13" t="s">
        <v>85</v>
      </c>
      <c r="B84" s="14">
        <f>SUM(B85:B86)</f>
        <v>5</v>
      </c>
      <c r="C84" s="13"/>
      <c r="D84" s="15">
        <f>SUM(D85:D86)</f>
        <v>2.5</v>
      </c>
    </row>
    <row r="85" ht="15.0" customHeight="1">
      <c r="A85" s="16" t="s">
        <v>86</v>
      </c>
      <c r="B85" s="17">
        <v>2.5</v>
      </c>
      <c r="C85" s="18"/>
      <c r="D85" s="19">
        <v>2.5</v>
      </c>
    </row>
    <row r="86" ht="15.0" customHeight="1">
      <c r="A86" s="16" t="s">
        <v>87</v>
      </c>
      <c r="B86" s="17">
        <v>2.5</v>
      </c>
      <c r="C86" s="18"/>
      <c r="D86" s="19">
        <v>0.0</v>
      </c>
    </row>
    <row r="87" ht="18.0" customHeight="1">
      <c r="A87" s="13" t="s">
        <v>88</v>
      </c>
      <c r="B87" s="14">
        <f>SUM(B88:B90)</f>
        <v>15</v>
      </c>
      <c r="C87" s="13"/>
      <c r="D87" s="15">
        <f>SUM(D88:D90)</f>
        <v>0</v>
      </c>
    </row>
    <row r="88" ht="15.0" customHeight="1">
      <c r="A88" s="16" t="s">
        <v>89</v>
      </c>
      <c r="B88" s="17">
        <v>5.0</v>
      </c>
      <c r="C88" s="18"/>
      <c r="D88" s="19">
        <v>0.0</v>
      </c>
    </row>
    <row r="89" ht="15.0" customHeight="1">
      <c r="A89" s="16" t="s">
        <v>90</v>
      </c>
      <c r="B89" s="17">
        <v>5.0</v>
      </c>
      <c r="C89" s="18"/>
      <c r="D89" s="19">
        <v>0.0</v>
      </c>
    </row>
    <row r="90" ht="15.0" customHeight="1">
      <c r="A90" s="16" t="s">
        <v>91</v>
      </c>
      <c r="B90" s="17">
        <v>5.0</v>
      </c>
      <c r="C90" s="18"/>
      <c r="D90" s="19">
        <v>0.0</v>
      </c>
    </row>
    <row r="91" ht="19.5" customHeight="1">
      <c r="A91" s="21" t="s">
        <v>92</v>
      </c>
      <c r="B91" s="22">
        <f>B19+B36+B83</f>
        <v>100</v>
      </c>
      <c r="C91" s="23"/>
      <c r="D91" s="24">
        <f>D19+D36+D83</f>
        <v>82.5</v>
      </c>
    </row>
    <row r="92" ht="15.75" customHeight="1">
      <c r="A92" s="2"/>
      <c r="B92" s="2"/>
      <c r="C92" s="2"/>
      <c r="D92" s="2"/>
    </row>
    <row r="93" ht="15.75" customHeight="1">
      <c r="A93" s="1" t="s">
        <v>93</v>
      </c>
      <c r="B93" s="2"/>
      <c r="C93" s="2"/>
      <c r="D93" s="2"/>
    </row>
    <row r="94" ht="15.75" customHeight="1">
      <c r="A94" s="9" t="s">
        <v>94</v>
      </c>
      <c r="B94" s="9" t="s">
        <v>95</v>
      </c>
      <c r="C94" s="9" t="s">
        <v>18</v>
      </c>
      <c r="D94" s="9"/>
    </row>
    <row r="95" ht="15.75" customHeight="1">
      <c r="A95" s="16" t="s">
        <v>96</v>
      </c>
      <c r="B95" s="25" t="s">
        <v>97</v>
      </c>
      <c r="C95" s="26"/>
      <c r="D95" s="27"/>
    </row>
    <row r="96" ht="15.75" customHeight="1">
      <c r="A96" s="16" t="s">
        <v>98</v>
      </c>
      <c r="B96" s="25" t="s">
        <v>97</v>
      </c>
      <c r="C96" s="26"/>
      <c r="D96" s="27"/>
    </row>
    <row r="97" ht="15.75" customHeight="1">
      <c r="A97" s="16" t="s">
        <v>99</v>
      </c>
      <c r="B97" s="25" t="s">
        <v>97</v>
      </c>
      <c r="C97" s="26"/>
      <c r="D97" s="27"/>
    </row>
    <row r="98" ht="15.75" customHeight="1">
      <c r="A98" s="16" t="s">
        <v>100</v>
      </c>
      <c r="B98" s="25" t="s">
        <v>97</v>
      </c>
      <c r="C98" s="26"/>
      <c r="D98" s="27"/>
    </row>
    <row r="99" ht="15.75" customHeight="1">
      <c r="A99" s="16" t="s">
        <v>101</v>
      </c>
      <c r="B99" s="25" t="s">
        <v>97</v>
      </c>
      <c r="C99" s="26"/>
      <c r="D99" s="27"/>
    </row>
    <row r="100" ht="15.75" customHeight="1">
      <c r="A100" s="16" t="s">
        <v>102</v>
      </c>
      <c r="B100" s="25" t="s">
        <v>97</v>
      </c>
      <c r="C100" s="26"/>
      <c r="D100" s="27"/>
    </row>
    <row r="101" ht="15.75" customHeight="1">
      <c r="A101" s="2"/>
      <c r="B101" s="2"/>
      <c r="C101" s="2"/>
      <c r="D101" s="2"/>
    </row>
    <row r="102" ht="15.75" customHeight="1">
      <c r="A102" s="1" t="s">
        <v>103</v>
      </c>
      <c r="B102" s="2"/>
      <c r="C102" s="2"/>
      <c r="D102" s="2"/>
    </row>
    <row r="103" ht="15.75" customHeight="1">
      <c r="A103" s="9" t="s">
        <v>104</v>
      </c>
      <c r="B103" s="9" t="s">
        <v>105</v>
      </c>
      <c r="C103" s="9" t="s">
        <v>106</v>
      </c>
      <c r="D103" s="9" t="s">
        <v>107</v>
      </c>
    </row>
    <row r="104" ht="15.75" customHeight="1">
      <c r="A104" s="16" t="s">
        <v>108</v>
      </c>
      <c r="B104" s="28">
        <v>-0.3</v>
      </c>
      <c r="C104" s="25" t="s">
        <v>109</v>
      </c>
      <c r="D104" s="29">
        <f t="shared" ref="D104:D118" si="1">IF(C104="Sí",$D$91*B104,0)</f>
        <v>0</v>
      </c>
    </row>
    <row r="105" ht="15.75" customHeight="1">
      <c r="A105" s="16" t="s">
        <v>110</v>
      </c>
      <c r="B105" s="28">
        <v>-0.2</v>
      </c>
      <c r="C105" s="25" t="s">
        <v>109</v>
      </c>
      <c r="D105" s="29">
        <f t="shared" si="1"/>
        <v>0</v>
      </c>
    </row>
    <row r="106" ht="15.75" customHeight="1">
      <c r="A106" s="16" t="s">
        <v>111</v>
      </c>
      <c r="B106" s="28">
        <v>-1.0</v>
      </c>
      <c r="C106" s="25" t="s">
        <v>109</v>
      </c>
      <c r="D106" s="29">
        <f t="shared" si="1"/>
        <v>0</v>
      </c>
    </row>
    <row r="107" ht="15.75" customHeight="1">
      <c r="A107" s="16" t="s">
        <v>112</v>
      </c>
      <c r="B107" s="28">
        <v>-1.0</v>
      </c>
      <c r="C107" s="25" t="s">
        <v>109</v>
      </c>
      <c r="D107" s="29">
        <f t="shared" si="1"/>
        <v>0</v>
      </c>
    </row>
    <row r="108" ht="15.75" customHeight="1">
      <c r="A108" s="16" t="s">
        <v>113</v>
      </c>
      <c r="B108" s="28">
        <v>-0.75</v>
      </c>
      <c r="C108" s="25" t="s">
        <v>109</v>
      </c>
      <c r="D108" s="29">
        <f t="shared" si="1"/>
        <v>0</v>
      </c>
    </row>
    <row r="109" ht="15.75" customHeight="1">
      <c r="A109" s="16" t="s">
        <v>114</v>
      </c>
      <c r="B109" s="28">
        <v>-0.75</v>
      </c>
      <c r="C109" s="25" t="s">
        <v>109</v>
      </c>
      <c r="D109" s="29">
        <f t="shared" si="1"/>
        <v>0</v>
      </c>
    </row>
    <row r="110" ht="15.75" customHeight="1">
      <c r="A110" s="16" t="s">
        <v>115</v>
      </c>
      <c r="B110" s="28">
        <v>-0.9</v>
      </c>
      <c r="C110" s="25" t="s">
        <v>109</v>
      </c>
      <c r="D110" s="29">
        <f t="shared" si="1"/>
        <v>0</v>
      </c>
    </row>
    <row r="111" ht="15.75" customHeight="1">
      <c r="A111" s="16" t="s">
        <v>116</v>
      </c>
      <c r="B111" s="28">
        <v>-0.5</v>
      </c>
      <c r="C111" s="25" t="s">
        <v>109</v>
      </c>
      <c r="D111" s="29">
        <f t="shared" si="1"/>
        <v>0</v>
      </c>
    </row>
    <row r="112" ht="15.75" customHeight="1">
      <c r="A112" s="16" t="s">
        <v>117</v>
      </c>
      <c r="B112" s="28">
        <v>-0.5</v>
      </c>
      <c r="C112" s="25" t="s">
        <v>109</v>
      </c>
      <c r="D112" s="29">
        <f t="shared" si="1"/>
        <v>0</v>
      </c>
    </row>
    <row r="113" ht="15.75" customHeight="1">
      <c r="A113" s="16" t="s">
        <v>118</v>
      </c>
      <c r="B113" s="28">
        <v>-1.0</v>
      </c>
      <c r="C113" s="25" t="s">
        <v>109</v>
      </c>
      <c r="D113" s="29">
        <f t="shared" si="1"/>
        <v>0</v>
      </c>
    </row>
    <row r="114" ht="15.75" customHeight="1">
      <c r="A114" s="16" t="s">
        <v>119</v>
      </c>
      <c r="B114" s="28">
        <v>-0.25</v>
      </c>
      <c r="C114" s="30" t="s">
        <v>97</v>
      </c>
      <c r="D114" s="29">
        <f t="shared" si="1"/>
        <v>-20.625</v>
      </c>
    </row>
    <row r="115" ht="15.75" customHeight="1">
      <c r="A115" s="16" t="s">
        <v>120</v>
      </c>
      <c r="B115" s="28">
        <v>-1.0</v>
      </c>
      <c r="C115" s="25" t="s">
        <v>109</v>
      </c>
      <c r="D115" s="29">
        <f t="shared" si="1"/>
        <v>0</v>
      </c>
    </row>
    <row r="116" ht="15.75" customHeight="1">
      <c r="A116" s="16" t="s">
        <v>121</v>
      </c>
      <c r="B116" s="28">
        <v>-1.0</v>
      </c>
      <c r="C116" s="25" t="s">
        <v>109</v>
      </c>
      <c r="D116" s="29">
        <f t="shared" si="1"/>
        <v>0</v>
      </c>
    </row>
    <row r="117" ht="15.75" customHeight="1">
      <c r="A117" s="16" t="s">
        <v>122</v>
      </c>
      <c r="B117" s="28">
        <v>-0.5</v>
      </c>
      <c r="C117" s="25" t="s">
        <v>109</v>
      </c>
      <c r="D117" s="29">
        <f t="shared" si="1"/>
        <v>0</v>
      </c>
    </row>
    <row r="118" ht="15.75" customHeight="1">
      <c r="A118" s="16" t="s">
        <v>123</v>
      </c>
      <c r="B118" s="28">
        <v>-1.0</v>
      </c>
      <c r="C118" s="25" t="s">
        <v>109</v>
      </c>
      <c r="D118" s="29">
        <f t="shared" si="1"/>
        <v>0</v>
      </c>
    </row>
    <row r="119" ht="15.75" customHeight="1">
      <c r="A119" s="21" t="s">
        <v>124</v>
      </c>
      <c r="B119" s="23"/>
      <c r="C119" s="23"/>
      <c r="D119" s="24">
        <f>SUM(D104:D118)</f>
        <v>-20.625</v>
      </c>
    </row>
    <row r="120" ht="15.75" customHeight="1">
      <c r="A120" s="2"/>
      <c r="B120" s="2"/>
      <c r="C120" s="2"/>
      <c r="D120" s="2"/>
    </row>
    <row r="121" ht="21.75" customHeight="1">
      <c r="A121" s="31" t="s">
        <v>125</v>
      </c>
      <c r="B121" s="32"/>
      <c r="C121" s="32"/>
      <c r="D121" s="33">
        <f>MAX(0,ROUND($D$91+$D$119,2))</f>
        <v>61.88</v>
      </c>
    </row>
    <row r="122" ht="15.75" customHeight="1">
      <c r="A122" s="2"/>
      <c r="B122" s="2"/>
      <c r="C122" s="2"/>
      <c r="D122" s="2"/>
    </row>
    <row r="123" ht="15.75" customHeight="1">
      <c r="A123" s="4" t="s">
        <v>126</v>
      </c>
      <c r="B123" s="2"/>
      <c r="C123" s="2"/>
      <c r="D123" s="2"/>
    </row>
    <row r="124" ht="18.0" customHeight="1">
      <c r="A124" s="34"/>
      <c r="B124" s="35"/>
      <c r="C124" s="35"/>
      <c r="D124" s="36"/>
    </row>
    <row r="125" ht="18.0" customHeight="1">
      <c r="A125" s="34"/>
      <c r="B125" s="35"/>
      <c r="C125" s="35"/>
      <c r="D125" s="36"/>
    </row>
    <row r="126" ht="18.0" customHeight="1">
      <c r="A126" s="34"/>
      <c r="B126" s="35"/>
      <c r="C126" s="35"/>
      <c r="D126" s="36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37" t="s">
        <v>127</v>
      </c>
      <c r="B129" s="2"/>
      <c r="C129" s="37" t="s">
        <v>127</v>
      </c>
      <c r="D129" s="2"/>
    </row>
    <row r="130" ht="15.75" customHeight="1">
      <c r="A130" s="37" t="s">
        <v>128</v>
      </c>
      <c r="B130" s="2"/>
      <c r="C130" s="37" t="s">
        <v>129</v>
      </c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mergeCells count="6">
    <mergeCell ref="A14:D14"/>
    <mergeCell ref="A15:D15"/>
    <mergeCell ref="A16:D16"/>
    <mergeCell ref="A124:D124"/>
    <mergeCell ref="A125:D125"/>
    <mergeCell ref="A126:D126"/>
  </mergeCells>
  <conditionalFormatting sqref="D19:D90">
    <cfRule type="cellIs" dxfId="0" priority="1" operator="greaterThan">
      <formula>B19</formula>
    </cfRule>
  </conditionalFormatting>
  <dataValidations>
    <dataValidation type="list" allowBlank="1" sqref="B95:B100 C104:C118">
      <formula1>"Sí,No"</formula1>
    </dataValidation>
  </dataValidations>
  <printOptions horizontalCentered="1"/>
  <pageMargins bottom="1.0" footer="0.0" header="0.0" left="0.75" right="0.75" top="1.0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8.0" topLeftCell="A19" activePane="bottomLeft" state="frozen"/>
      <selection activeCell="B20" sqref="B20" pane="bottomLeft"/>
    </sheetView>
  </sheetViews>
  <sheetFormatPr customHeight="1" defaultColWidth="14.43" defaultRowHeight="15.0"/>
  <cols>
    <col customWidth="1" min="1" max="1" width="78.0"/>
    <col customWidth="1" min="2" max="2" width="11.0"/>
    <col customWidth="1" min="3" max="3" width="34.0"/>
    <col customWidth="1" min="4" max="4" width="11.0"/>
    <col customWidth="1" min="5" max="26" width="8.71"/>
  </cols>
  <sheetData>
    <row r="1">
      <c r="A1" s="1" t="s">
        <v>0</v>
      </c>
      <c r="B1" s="2"/>
      <c r="C1" s="2"/>
      <c r="D1" s="2"/>
    </row>
    <row r="2">
      <c r="A2" s="1" t="s">
        <v>1</v>
      </c>
      <c r="B2" s="2"/>
      <c r="C2" s="2"/>
      <c r="D2" s="2"/>
    </row>
    <row r="3">
      <c r="A3" s="1" t="s">
        <v>2</v>
      </c>
      <c r="B3" s="2"/>
      <c r="C3" s="2"/>
      <c r="D3" s="2"/>
    </row>
    <row r="4">
      <c r="A4" s="1" t="s">
        <v>3</v>
      </c>
      <c r="B4" s="2"/>
      <c r="C4" s="2"/>
      <c r="D4" s="2"/>
    </row>
    <row r="5">
      <c r="A5" s="1" t="s">
        <v>4</v>
      </c>
      <c r="B5" s="2"/>
      <c r="C5" s="2"/>
      <c r="D5" s="2"/>
    </row>
    <row r="6">
      <c r="A6" s="1" t="s">
        <v>5</v>
      </c>
      <c r="B6" s="2"/>
      <c r="C6" s="2"/>
      <c r="D6" s="2"/>
    </row>
    <row r="7">
      <c r="A7" s="2"/>
      <c r="B7" s="2"/>
      <c r="C7" s="2"/>
      <c r="D7" s="2"/>
    </row>
    <row r="8">
      <c r="A8" s="3" t="s">
        <v>6</v>
      </c>
      <c r="B8" s="2"/>
      <c r="C8" s="2"/>
      <c r="D8" s="2"/>
    </row>
    <row r="9">
      <c r="A9" s="2"/>
      <c r="B9" s="2"/>
      <c r="C9" s="2"/>
      <c r="D9" s="2"/>
    </row>
    <row r="10">
      <c r="A10" s="4" t="s">
        <v>7</v>
      </c>
      <c r="B10" s="38">
        <v>46253.0</v>
      </c>
      <c r="C10" s="2"/>
      <c r="D10" s="2"/>
    </row>
    <row r="11">
      <c r="A11" s="4" t="s">
        <v>8</v>
      </c>
      <c r="B11" s="6" t="s">
        <v>145</v>
      </c>
      <c r="C11" s="2"/>
      <c r="D11" s="2"/>
    </row>
    <row r="12">
      <c r="A12" s="4" t="s">
        <v>10</v>
      </c>
      <c r="B12" s="6">
        <v>2.0230626E8</v>
      </c>
      <c r="C12" s="2"/>
      <c r="D12" s="2"/>
    </row>
    <row r="13">
      <c r="A13" s="2"/>
      <c r="B13" s="2"/>
      <c r="C13" s="2"/>
      <c r="D13" s="2"/>
    </row>
    <row r="14" ht="25.5" customHeight="1">
      <c r="A14" s="8" t="s">
        <v>12</v>
      </c>
    </row>
    <row r="15" ht="25.5" customHeight="1">
      <c r="A15" s="8" t="s">
        <v>14</v>
      </c>
    </row>
    <row r="16" ht="25.5" customHeight="1">
      <c r="A16" s="8" t="s">
        <v>15</v>
      </c>
    </row>
    <row r="17">
      <c r="A17" s="2"/>
      <c r="B17" s="2"/>
      <c r="C17" s="2"/>
      <c r="D17" s="2"/>
    </row>
    <row r="18" ht="19.5" customHeight="1">
      <c r="A18" s="9" t="s">
        <v>16</v>
      </c>
      <c r="B18" s="9" t="s">
        <v>17</v>
      </c>
      <c r="C18" s="9" t="s">
        <v>18</v>
      </c>
      <c r="D18" s="9" t="s">
        <v>19</v>
      </c>
    </row>
    <row r="19" ht="19.5" customHeight="1">
      <c r="A19" s="10" t="s">
        <v>20</v>
      </c>
      <c r="B19" s="11">
        <f>B20+B25+B30</f>
        <v>25</v>
      </c>
      <c r="C19" s="10"/>
      <c r="D19" s="12">
        <f>D20+D25+D30</f>
        <v>25</v>
      </c>
    </row>
    <row r="20" ht="18.0" customHeight="1">
      <c r="A20" s="13" t="s">
        <v>21</v>
      </c>
      <c r="B20" s="14">
        <f>SUM(B21:B24)</f>
        <v>10</v>
      </c>
      <c r="C20" s="13"/>
      <c r="D20" s="15">
        <f>SUM(D21:D24)</f>
        <v>10</v>
      </c>
    </row>
    <row r="21" ht="15.0" customHeight="1">
      <c r="A21" s="16" t="s">
        <v>22</v>
      </c>
      <c r="B21" s="17">
        <v>3.0</v>
      </c>
      <c r="C21" s="39"/>
      <c r="D21" s="19">
        <v>3.0</v>
      </c>
    </row>
    <row r="22" ht="15.0" customHeight="1">
      <c r="A22" s="16" t="s">
        <v>23</v>
      </c>
      <c r="B22" s="17">
        <v>3.0</v>
      </c>
      <c r="C22" s="39"/>
      <c r="D22" s="19">
        <v>3.0</v>
      </c>
    </row>
    <row r="23" ht="15.0" customHeight="1">
      <c r="A23" s="16" t="s">
        <v>24</v>
      </c>
      <c r="B23" s="17">
        <v>2.0</v>
      </c>
      <c r="C23" s="39"/>
      <c r="D23" s="19">
        <v>2.0</v>
      </c>
    </row>
    <row r="24" ht="15.0" customHeight="1">
      <c r="A24" s="16" t="s">
        <v>25</v>
      </c>
      <c r="B24" s="17">
        <v>2.0</v>
      </c>
      <c r="C24" s="39"/>
      <c r="D24" s="19">
        <v>2.0</v>
      </c>
    </row>
    <row r="25" ht="18.0" customHeight="1">
      <c r="A25" s="13" t="s">
        <v>26</v>
      </c>
      <c r="B25" s="14">
        <f>SUM(B26:B29)</f>
        <v>10</v>
      </c>
      <c r="C25" s="13"/>
      <c r="D25" s="15">
        <f>SUM(D26:D29)</f>
        <v>10</v>
      </c>
    </row>
    <row r="26" ht="15.0" customHeight="1">
      <c r="A26" s="16" t="s">
        <v>27</v>
      </c>
      <c r="B26" s="17">
        <v>4.0</v>
      </c>
      <c r="C26" s="18"/>
      <c r="D26" s="19">
        <v>4.0</v>
      </c>
    </row>
    <row r="27" ht="15.0" customHeight="1">
      <c r="A27" s="16" t="s">
        <v>28</v>
      </c>
      <c r="B27" s="17">
        <v>2.0</v>
      </c>
      <c r="C27" s="18"/>
      <c r="D27" s="19">
        <v>2.0</v>
      </c>
    </row>
    <row r="28" ht="15.0" customHeight="1">
      <c r="A28" s="16" t="s">
        <v>29</v>
      </c>
      <c r="B28" s="17">
        <v>3.0</v>
      </c>
      <c r="C28" s="18"/>
      <c r="D28" s="19">
        <v>3.0</v>
      </c>
    </row>
    <row r="29" ht="15.0" customHeight="1">
      <c r="A29" s="16" t="s">
        <v>30</v>
      </c>
      <c r="B29" s="17">
        <v>1.0</v>
      </c>
      <c r="C29" s="18"/>
      <c r="D29" s="19">
        <v>1.0</v>
      </c>
    </row>
    <row r="30" ht="18.0" customHeight="1">
      <c r="A30" s="13" t="s">
        <v>31</v>
      </c>
      <c r="B30" s="14">
        <f>SUM(B31:B35)</f>
        <v>5</v>
      </c>
      <c r="C30" s="13"/>
      <c r="D30" s="15">
        <f>SUM(D31:D35)</f>
        <v>5</v>
      </c>
    </row>
    <row r="31" ht="15.0" customHeight="1">
      <c r="A31" s="16" t="s">
        <v>32</v>
      </c>
      <c r="B31" s="17">
        <v>1.0</v>
      </c>
      <c r="C31" s="18"/>
      <c r="D31" s="19">
        <v>1.0</v>
      </c>
    </row>
    <row r="32" ht="15.0" customHeight="1">
      <c r="A32" s="16" t="s">
        <v>33</v>
      </c>
      <c r="B32" s="17">
        <v>1.0</v>
      </c>
      <c r="C32" s="18"/>
      <c r="D32" s="19">
        <v>1.0</v>
      </c>
    </row>
    <row r="33" ht="15.0" customHeight="1">
      <c r="A33" s="16" t="s">
        <v>34</v>
      </c>
      <c r="B33" s="17">
        <v>1.0</v>
      </c>
      <c r="C33" s="18"/>
      <c r="D33" s="19">
        <v>1.0</v>
      </c>
    </row>
    <row r="34" ht="15.0" customHeight="1">
      <c r="A34" s="16" t="s">
        <v>35</v>
      </c>
      <c r="B34" s="17">
        <v>1.0</v>
      </c>
      <c r="C34" s="18"/>
      <c r="D34" s="19">
        <v>1.0</v>
      </c>
    </row>
    <row r="35" ht="15.0" customHeight="1">
      <c r="A35" s="16" t="s">
        <v>36</v>
      </c>
      <c r="B35" s="17">
        <v>1.0</v>
      </c>
      <c r="C35" s="18"/>
      <c r="D35" s="19">
        <v>1.0</v>
      </c>
    </row>
    <row r="36" ht="19.5" customHeight="1">
      <c r="A36" s="10" t="s">
        <v>37</v>
      </c>
      <c r="B36" s="11">
        <f>B37+B43+B55+B61+B67+B72+B78</f>
        <v>55</v>
      </c>
      <c r="C36" s="10"/>
      <c r="D36" s="12">
        <f>D37+D43+D55+D61+D67+D72+D78</f>
        <v>55</v>
      </c>
    </row>
    <row r="37" ht="18.0" customHeight="1">
      <c r="A37" s="13" t="s">
        <v>38</v>
      </c>
      <c r="B37" s="14">
        <f>SUM(B38:B42)</f>
        <v>5</v>
      </c>
      <c r="C37" s="13"/>
      <c r="D37" s="15">
        <f>SUM(D38:D42)</f>
        <v>5</v>
      </c>
    </row>
    <row r="38" ht="15.0" customHeight="1">
      <c r="A38" s="16" t="s">
        <v>39</v>
      </c>
      <c r="B38" s="17">
        <v>1.0</v>
      </c>
      <c r="C38" s="18"/>
      <c r="D38" s="19">
        <v>1.0</v>
      </c>
    </row>
    <row r="39" ht="15.0" customHeight="1">
      <c r="A39" s="16" t="s">
        <v>40</v>
      </c>
      <c r="B39" s="17">
        <v>1.0</v>
      </c>
      <c r="C39" s="18"/>
      <c r="D39" s="19">
        <v>1.0</v>
      </c>
    </row>
    <row r="40" ht="15.0" customHeight="1">
      <c r="A40" s="16" t="s">
        <v>41</v>
      </c>
      <c r="B40" s="17">
        <v>1.0</v>
      </c>
      <c r="C40" s="18"/>
      <c r="D40" s="19">
        <v>1.0</v>
      </c>
    </row>
    <row r="41" ht="15.0" customHeight="1">
      <c r="A41" s="16" t="s">
        <v>42</v>
      </c>
      <c r="B41" s="17">
        <v>1.0</v>
      </c>
      <c r="C41" s="18"/>
      <c r="D41" s="19">
        <v>1.0</v>
      </c>
    </row>
    <row r="42" ht="15.0" customHeight="1">
      <c r="A42" s="16" t="s">
        <v>43</v>
      </c>
      <c r="B42" s="17">
        <v>1.0</v>
      </c>
      <c r="C42" s="18"/>
      <c r="D42" s="19">
        <v>1.0</v>
      </c>
    </row>
    <row r="43" ht="18.0" customHeight="1">
      <c r="A43" s="13" t="s">
        <v>44</v>
      </c>
      <c r="B43" s="14">
        <f>SUM(B44:B54)</f>
        <v>15</v>
      </c>
      <c r="C43" s="13"/>
      <c r="D43" s="15">
        <f>SUM(D44:D54)</f>
        <v>15</v>
      </c>
    </row>
    <row r="44" ht="15.0" customHeight="1">
      <c r="A44" s="16" t="s">
        <v>45</v>
      </c>
      <c r="B44" s="17">
        <v>2.0</v>
      </c>
      <c r="C44" s="18"/>
      <c r="D44" s="19">
        <v>2.0</v>
      </c>
    </row>
    <row r="45" ht="15.0" customHeight="1">
      <c r="A45" s="16" t="s">
        <v>46</v>
      </c>
      <c r="B45" s="17">
        <v>1.0</v>
      </c>
      <c r="C45" s="18"/>
      <c r="D45" s="19">
        <v>1.0</v>
      </c>
    </row>
    <row r="46" ht="15.0" customHeight="1">
      <c r="A46" s="16" t="s">
        <v>47</v>
      </c>
      <c r="B46" s="17">
        <v>1.0</v>
      </c>
      <c r="C46" s="18"/>
      <c r="D46" s="19">
        <v>1.0</v>
      </c>
    </row>
    <row r="47" ht="15.0" customHeight="1">
      <c r="A47" s="16" t="s">
        <v>48</v>
      </c>
      <c r="B47" s="17">
        <v>1.0</v>
      </c>
      <c r="C47" s="18"/>
      <c r="D47" s="19">
        <v>1.0</v>
      </c>
    </row>
    <row r="48" ht="15.0" customHeight="1">
      <c r="A48" s="16" t="s">
        <v>49</v>
      </c>
      <c r="B48" s="17">
        <v>2.0</v>
      </c>
      <c r="C48" s="18"/>
      <c r="D48" s="19">
        <v>2.0</v>
      </c>
    </row>
    <row r="49" ht="15.0" customHeight="1">
      <c r="A49" s="16" t="s">
        <v>50</v>
      </c>
      <c r="B49" s="17">
        <v>2.0</v>
      </c>
      <c r="C49" s="18"/>
      <c r="D49" s="19">
        <v>2.0</v>
      </c>
    </row>
    <row r="50" ht="15.0" customHeight="1">
      <c r="A50" s="16" t="s">
        <v>51</v>
      </c>
      <c r="B50" s="17">
        <v>1.0</v>
      </c>
      <c r="C50" s="18"/>
      <c r="D50" s="19">
        <v>1.0</v>
      </c>
    </row>
    <row r="51" ht="15.0" customHeight="1">
      <c r="A51" s="16" t="s">
        <v>52</v>
      </c>
      <c r="B51" s="17">
        <v>1.0</v>
      </c>
      <c r="C51" s="18"/>
      <c r="D51" s="19">
        <v>1.0</v>
      </c>
    </row>
    <row r="52" ht="15.0" customHeight="1">
      <c r="A52" s="16" t="s">
        <v>53</v>
      </c>
      <c r="B52" s="17">
        <v>2.0</v>
      </c>
      <c r="C52" s="18"/>
      <c r="D52" s="19">
        <v>2.0</v>
      </c>
    </row>
    <row r="53" ht="15.0" customHeight="1">
      <c r="A53" s="16" t="s">
        <v>54</v>
      </c>
      <c r="B53" s="17">
        <v>1.0</v>
      </c>
      <c r="C53" s="18"/>
      <c r="D53" s="19">
        <v>1.0</v>
      </c>
    </row>
    <row r="54" ht="15.0" customHeight="1">
      <c r="A54" s="16" t="s">
        <v>55</v>
      </c>
      <c r="B54" s="17">
        <v>1.0</v>
      </c>
      <c r="C54" s="18"/>
      <c r="D54" s="19">
        <v>1.0</v>
      </c>
    </row>
    <row r="55" ht="18.0" customHeight="1">
      <c r="A55" s="13" t="s">
        <v>56</v>
      </c>
      <c r="B55" s="14">
        <f>SUM(B56:B60)</f>
        <v>8</v>
      </c>
      <c r="C55" s="13"/>
      <c r="D55" s="15">
        <f>SUM(D56:D60)</f>
        <v>8</v>
      </c>
    </row>
    <row r="56" ht="15.0" customHeight="1">
      <c r="A56" s="16" t="s">
        <v>57</v>
      </c>
      <c r="B56" s="17">
        <v>1.0</v>
      </c>
      <c r="C56" s="18"/>
      <c r="D56" s="19">
        <v>1.0</v>
      </c>
    </row>
    <row r="57" ht="15.0" customHeight="1">
      <c r="A57" s="16" t="s">
        <v>58</v>
      </c>
      <c r="B57" s="17">
        <v>2.0</v>
      </c>
      <c r="C57" s="18"/>
      <c r="D57" s="19">
        <v>2.0</v>
      </c>
    </row>
    <row r="58" ht="15.0" customHeight="1">
      <c r="A58" s="16" t="s">
        <v>59</v>
      </c>
      <c r="B58" s="17">
        <v>2.0</v>
      </c>
      <c r="C58" s="18"/>
      <c r="D58" s="19">
        <v>2.0</v>
      </c>
    </row>
    <row r="59" ht="15.0" customHeight="1">
      <c r="A59" s="16" t="s">
        <v>60</v>
      </c>
      <c r="B59" s="17">
        <v>2.0</v>
      </c>
      <c r="C59" s="18"/>
      <c r="D59" s="19">
        <v>2.0</v>
      </c>
    </row>
    <row r="60" ht="15.0" customHeight="1">
      <c r="A60" s="16" t="s">
        <v>61</v>
      </c>
      <c r="B60" s="17">
        <v>1.0</v>
      </c>
      <c r="C60" s="18"/>
      <c r="D60" s="19">
        <v>1.0</v>
      </c>
    </row>
    <row r="61" ht="18.0" customHeight="1">
      <c r="A61" s="13" t="s">
        <v>62</v>
      </c>
      <c r="B61" s="14">
        <f>SUM(B62:B66)</f>
        <v>8</v>
      </c>
      <c r="C61" s="13"/>
      <c r="D61" s="15">
        <f>SUM(D62:D66)</f>
        <v>8</v>
      </c>
    </row>
    <row r="62" ht="15.0" customHeight="1">
      <c r="A62" s="16" t="s">
        <v>63</v>
      </c>
      <c r="B62" s="17">
        <v>2.0</v>
      </c>
      <c r="C62" s="18"/>
      <c r="D62" s="19">
        <v>2.0</v>
      </c>
    </row>
    <row r="63" ht="15.0" customHeight="1">
      <c r="A63" s="16" t="s">
        <v>64</v>
      </c>
      <c r="B63" s="17">
        <v>2.0</v>
      </c>
      <c r="C63" s="18"/>
      <c r="D63" s="19">
        <v>2.0</v>
      </c>
    </row>
    <row r="64" ht="15.0" customHeight="1">
      <c r="A64" s="16" t="s">
        <v>65</v>
      </c>
      <c r="B64" s="17">
        <v>1.0</v>
      </c>
      <c r="C64" s="18"/>
      <c r="D64" s="19">
        <v>1.0</v>
      </c>
    </row>
    <row r="65" ht="15.0" customHeight="1">
      <c r="A65" s="16" t="s">
        <v>66</v>
      </c>
      <c r="B65" s="17">
        <v>2.0</v>
      </c>
      <c r="C65" s="18"/>
      <c r="D65" s="19">
        <v>2.0</v>
      </c>
    </row>
    <row r="66" ht="15.0" customHeight="1">
      <c r="A66" s="16" t="s">
        <v>67</v>
      </c>
      <c r="B66" s="17">
        <v>1.0</v>
      </c>
      <c r="C66" s="18"/>
      <c r="D66" s="19">
        <v>1.0</v>
      </c>
    </row>
    <row r="67" ht="18.0" customHeight="1">
      <c r="A67" s="13" t="s">
        <v>68</v>
      </c>
      <c r="B67" s="14">
        <f>SUM(B68:B71)</f>
        <v>5</v>
      </c>
      <c r="C67" s="13"/>
      <c r="D67" s="15">
        <f>SUM(D68:D71)</f>
        <v>5</v>
      </c>
    </row>
    <row r="68" ht="15.0" customHeight="1">
      <c r="A68" s="16" t="s">
        <v>69</v>
      </c>
      <c r="B68" s="17">
        <v>1.0</v>
      </c>
      <c r="C68" s="18"/>
      <c r="D68" s="19">
        <v>1.0</v>
      </c>
    </row>
    <row r="69" ht="15.0" customHeight="1">
      <c r="A69" s="16" t="s">
        <v>70</v>
      </c>
      <c r="B69" s="17">
        <v>2.0</v>
      </c>
      <c r="C69" s="18"/>
      <c r="D69" s="19">
        <v>2.0</v>
      </c>
    </row>
    <row r="70" ht="15.0" customHeight="1">
      <c r="A70" s="16" t="s">
        <v>71</v>
      </c>
      <c r="B70" s="17">
        <v>1.0</v>
      </c>
      <c r="C70" s="18"/>
      <c r="D70" s="19">
        <v>1.0</v>
      </c>
    </row>
    <row r="71" ht="15.0" customHeight="1">
      <c r="A71" s="16" t="s">
        <v>72</v>
      </c>
      <c r="B71" s="17">
        <v>1.0</v>
      </c>
      <c r="C71" s="18"/>
      <c r="D71" s="19">
        <v>1.0</v>
      </c>
    </row>
    <row r="72" ht="18.0" customHeight="1">
      <c r="A72" s="13" t="s">
        <v>73</v>
      </c>
      <c r="B72" s="14">
        <f>SUM(B73:B77)</f>
        <v>8</v>
      </c>
      <c r="C72" s="13"/>
      <c r="D72" s="15">
        <f>SUM(D73:D77)</f>
        <v>8</v>
      </c>
    </row>
    <row r="73" ht="15.0" customHeight="1">
      <c r="A73" s="16" t="s">
        <v>74</v>
      </c>
      <c r="B73" s="17">
        <v>2.0</v>
      </c>
      <c r="C73" s="18"/>
      <c r="D73" s="19">
        <v>2.0</v>
      </c>
    </row>
    <row r="74" ht="15.0" customHeight="1">
      <c r="A74" s="16" t="s">
        <v>75</v>
      </c>
      <c r="B74" s="17">
        <v>2.0</v>
      </c>
      <c r="C74" s="18"/>
      <c r="D74" s="19">
        <v>2.0</v>
      </c>
    </row>
    <row r="75" ht="15.0" customHeight="1">
      <c r="A75" s="16" t="s">
        <v>76</v>
      </c>
      <c r="B75" s="17">
        <v>1.0</v>
      </c>
      <c r="C75" s="18"/>
      <c r="D75" s="19">
        <v>1.0</v>
      </c>
    </row>
    <row r="76" ht="15.0" customHeight="1">
      <c r="A76" s="16" t="s">
        <v>77</v>
      </c>
      <c r="B76" s="17">
        <v>2.0</v>
      </c>
      <c r="C76" s="18"/>
      <c r="D76" s="19">
        <v>2.0</v>
      </c>
    </row>
    <row r="77" ht="15.0" customHeight="1">
      <c r="A77" s="16" t="s">
        <v>78</v>
      </c>
      <c r="B77" s="17">
        <v>1.0</v>
      </c>
      <c r="C77" s="18"/>
      <c r="D77" s="19">
        <v>1.0</v>
      </c>
    </row>
    <row r="78" ht="18.0" customHeight="1">
      <c r="A78" s="13" t="s">
        <v>79</v>
      </c>
      <c r="B78" s="14">
        <f>SUM(B79:B82)</f>
        <v>6</v>
      </c>
      <c r="C78" s="13"/>
      <c r="D78" s="15">
        <f>SUM(D79:D82)</f>
        <v>6</v>
      </c>
    </row>
    <row r="79" ht="15.0" customHeight="1">
      <c r="A79" s="16" t="s">
        <v>80</v>
      </c>
      <c r="B79" s="17">
        <v>2.0</v>
      </c>
      <c r="C79" s="18"/>
      <c r="D79" s="19">
        <v>2.0</v>
      </c>
    </row>
    <row r="80" ht="15.0" customHeight="1">
      <c r="A80" s="16" t="s">
        <v>81</v>
      </c>
      <c r="B80" s="17">
        <v>1.0</v>
      </c>
      <c r="C80" s="18"/>
      <c r="D80" s="19">
        <v>1.0</v>
      </c>
    </row>
    <row r="81" ht="15.0" customHeight="1">
      <c r="A81" s="16" t="s">
        <v>82</v>
      </c>
      <c r="B81" s="17">
        <v>2.0</v>
      </c>
      <c r="C81" s="18"/>
      <c r="D81" s="19">
        <v>2.0</v>
      </c>
    </row>
    <row r="82" ht="15.0" customHeight="1">
      <c r="A82" s="16" t="s">
        <v>83</v>
      </c>
      <c r="B82" s="17">
        <v>1.0</v>
      </c>
      <c r="C82" s="18"/>
      <c r="D82" s="19">
        <v>1.0</v>
      </c>
    </row>
    <row r="83" ht="19.5" customHeight="1">
      <c r="A83" s="10" t="s">
        <v>84</v>
      </c>
      <c r="B83" s="11">
        <f>B84+B87</f>
        <v>20</v>
      </c>
      <c r="C83" s="10"/>
      <c r="D83" s="12">
        <f>D84+D87</f>
        <v>0</v>
      </c>
    </row>
    <row r="84" ht="18.0" customHeight="1">
      <c r="A84" s="13" t="s">
        <v>85</v>
      </c>
      <c r="B84" s="14">
        <f>SUM(B85:B86)</f>
        <v>5</v>
      </c>
      <c r="C84" s="13"/>
      <c r="D84" s="15">
        <f>SUM(D85:D86)</f>
        <v>0</v>
      </c>
    </row>
    <row r="85" ht="15.0" customHeight="1">
      <c r="A85" s="16" t="s">
        <v>86</v>
      </c>
      <c r="B85" s="17">
        <v>2.5</v>
      </c>
      <c r="C85" s="18"/>
      <c r="D85" s="19">
        <v>0.0</v>
      </c>
    </row>
    <row r="86" ht="15.0" customHeight="1">
      <c r="A86" s="16" t="s">
        <v>87</v>
      </c>
      <c r="B86" s="17">
        <v>2.5</v>
      </c>
      <c r="C86" s="18"/>
      <c r="D86" s="19">
        <v>0.0</v>
      </c>
    </row>
    <row r="87" ht="18.0" customHeight="1">
      <c r="A87" s="13" t="s">
        <v>88</v>
      </c>
      <c r="B87" s="14">
        <f>SUM(B88:B90)</f>
        <v>15</v>
      </c>
      <c r="C87" s="13"/>
      <c r="D87" s="15">
        <f>SUM(D88:D90)</f>
        <v>0</v>
      </c>
    </row>
    <row r="88" ht="15.0" customHeight="1">
      <c r="A88" s="16" t="s">
        <v>89</v>
      </c>
      <c r="B88" s="17">
        <v>5.0</v>
      </c>
      <c r="C88" s="18"/>
      <c r="D88" s="19">
        <v>0.0</v>
      </c>
    </row>
    <row r="89" ht="15.0" customHeight="1">
      <c r="A89" s="16" t="s">
        <v>90</v>
      </c>
      <c r="B89" s="17">
        <v>5.0</v>
      </c>
      <c r="C89" s="18"/>
      <c r="D89" s="19">
        <v>0.0</v>
      </c>
    </row>
    <row r="90" ht="15.0" customHeight="1">
      <c r="A90" s="16" t="s">
        <v>91</v>
      </c>
      <c r="B90" s="17">
        <v>5.0</v>
      </c>
      <c r="C90" s="18"/>
      <c r="D90" s="19">
        <v>0.0</v>
      </c>
    </row>
    <row r="91" ht="19.5" customHeight="1">
      <c r="A91" s="21" t="s">
        <v>92</v>
      </c>
      <c r="B91" s="22">
        <f>B19+B36+B83</f>
        <v>100</v>
      </c>
      <c r="C91" s="23"/>
      <c r="D91" s="24">
        <f>D19+D36+D83</f>
        <v>80</v>
      </c>
    </row>
    <row r="92" ht="15.75" customHeight="1">
      <c r="A92" s="2"/>
      <c r="B92" s="2"/>
      <c r="C92" s="2"/>
      <c r="D92" s="2"/>
    </row>
    <row r="93" ht="15.75" customHeight="1">
      <c r="A93" s="1" t="s">
        <v>93</v>
      </c>
      <c r="B93" s="2"/>
      <c r="C93" s="2"/>
      <c r="D93" s="2"/>
    </row>
    <row r="94" ht="15.75" customHeight="1">
      <c r="A94" s="9" t="s">
        <v>94</v>
      </c>
      <c r="B94" s="9" t="s">
        <v>95</v>
      </c>
      <c r="C94" s="9" t="s">
        <v>18</v>
      </c>
      <c r="D94" s="9"/>
    </row>
    <row r="95" ht="15.75" customHeight="1">
      <c r="A95" s="16" t="s">
        <v>96</v>
      </c>
      <c r="B95" s="25" t="s">
        <v>97</v>
      </c>
      <c r="C95" s="26"/>
      <c r="D95" s="27"/>
    </row>
    <row r="96" ht="15.75" customHeight="1">
      <c r="A96" s="16" t="s">
        <v>98</v>
      </c>
      <c r="B96" s="25" t="s">
        <v>97</v>
      </c>
      <c r="C96" s="26"/>
      <c r="D96" s="27"/>
    </row>
    <row r="97" ht="15.75" customHeight="1">
      <c r="A97" s="16" t="s">
        <v>99</v>
      </c>
      <c r="B97" s="25" t="s">
        <v>97</v>
      </c>
      <c r="C97" s="26"/>
      <c r="D97" s="27"/>
    </row>
    <row r="98" ht="15.75" customHeight="1">
      <c r="A98" s="16" t="s">
        <v>100</v>
      </c>
      <c r="B98" s="25" t="s">
        <v>97</v>
      </c>
      <c r="C98" s="26"/>
      <c r="D98" s="27"/>
    </row>
    <row r="99" ht="15.75" customHeight="1">
      <c r="A99" s="16" t="s">
        <v>101</v>
      </c>
      <c r="B99" s="25" t="s">
        <v>97</v>
      </c>
      <c r="C99" s="26"/>
      <c r="D99" s="27"/>
    </row>
    <row r="100" ht="15.75" customHeight="1">
      <c r="A100" s="16" t="s">
        <v>102</v>
      </c>
      <c r="B100" s="25" t="s">
        <v>97</v>
      </c>
      <c r="C100" s="26"/>
      <c r="D100" s="27"/>
    </row>
    <row r="101" ht="15.75" customHeight="1">
      <c r="A101" s="2"/>
      <c r="B101" s="2"/>
      <c r="C101" s="2"/>
      <c r="D101" s="2"/>
    </row>
    <row r="102" ht="15.75" customHeight="1">
      <c r="A102" s="1" t="s">
        <v>103</v>
      </c>
      <c r="B102" s="2"/>
      <c r="C102" s="2"/>
      <c r="D102" s="2"/>
    </row>
    <row r="103" ht="15.75" customHeight="1">
      <c r="A103" s="9" t="s">
        <v>104</v>
      </c>
      <c r="B103" s="9" t="s">
        <v>105</v>
      </c>
      <c r="C103" s="9" t="s">
        <v>106</v>
      </c>
      <c r="D103" s="9" t="s">
        <v>107</v>
      </c>
    </row>
    <row r="104" ht="15.75" customHeight="1">
      <c r="A104" s="16" t="s">
        <v>108</v>
      </c>
      <c r="B104" s="28">
        <v>-0.3</v>
      </c>
      <c r="C104" s="25" t="s">
        <v>109</v>
      </c>
      <c r="D104" s="29">
        <f t="shared" ref="D104:D118" si="1">IF(C104="Sí",$D$91*B104,0)</f>
        <v>0</v>
      </c>
    </row>
    <row r="105" ht="15.75" customHeight="1">
      <c r="A105" s="16" t="s">
        <v>110</v>
      </c>
      <c r="B105" s="28">
        <v>-0.2</v>
      </c>
      <c r="C105" s="25" t="s">
        <v>109</v>
      </c>
      <c r="D105" s="29">
        <f t="shared" si="1"/>
        <v>0</v>
      </c>
    </row>
    <row r="106" ht="15.75" customHeight="1">
      <c r="A106" s="16" t="s">
        <v>111</v>
      </c>
      <c r="B106" s="28">
        <v>-1.0</v>
      </c>
      <c r="C106" s="25" t="s">
        <v>109</v>
      </c>
      <c r="D106" s="29">
        <f t="shared" si="1"/>
        <v>0</v>
      </c>
    </row>
    <row r="107" ht="15.75" customHeight="1">
      <c r="A107" s="16" t="s">
        <v>112</v>
      </c>
      <c r="B107" s="28">
        <v>-1.0</v>
      </c>
      <c r="C107" s="25" t="s">
        <v>109</v>
      </c>
      <c r="D107" s="29">
        <f t="shared" si="1"/>
        <v>0</v>
      </c>
    </row>
    <row r="108" ht="15.75" customHeight="1">
      <c r="A108" s="16" t="s">
        <v>113</v>
      </c>
      <c r="B108" s="28">
        <v>-0.75</v>
      </c>
      <c r="C108" s="25" t="s">
        <v>109</v>
      </c>
      <c r="D108" s="29">
        <f t="shared" si="1"/>
        <v>0</v>
      </c>
    </row>
    <row r="109" ht="15.75" customHeight="1">
      <c r="A109" s="16" t="s">
        <v>114</v>
      </c>
      <c r="B109" s="28">
        <v>-0.75</v>
      </c>
      <c r="C109" s="25" t="s">
        <v>109</v>
      </c>
      <c r="D109" s="29">
        <f t="shared" si="1"/>
        <v>0</v>
      </c>
    </row>
    <row r="110" ht="15.75" customHeight="1">
      <c r="A110" s="16" t="s">
        <v>115</v>
      </c>
      <c r="B110" s="28">
        <v>-0.9</v>
      </c>
      <c r="C110" s="25" t="s">
        <v>109</v>
      </c>
      <c r="D110" s="29">
        <f t="shared" si="1"/>
        <v>0</v>
      </c>
    </row>
    <row r="111" ht="15.75" customHeight="1">
      <c r="A111" s="16" t="s">
        <v>116</v>
      </c>
      <c r="B111" s="28">
        <v>-0.5</v>
      </c>
      <c r="C111" s="25" t="s">
        <v>109</v>
      </c>
      <c r="D111" s="29">
        <f t="shared" si="1"/>
        <v>0</v>
      </c>
    </row>
    <row r="112" ht="15.75" customHeight="1">
      <c r="A112" s="16" t="s">
        <v>117</v>
      </c>
      <c r="B112" s="28">
        <v>-0.5</v>
      </c>
      <c r="C112" s="25" t="s">
        <v>109</v>
      </c>
      <c r="D112" s="29">
        <f t="shared" si="1"/>
        <v>0</v>
      </c>
    </row>
    <row r="113" ht="15.75" customHeight="1">
      <c r="A113" s="16" t="s">
        <v>118</v>
      </c>
      <c r="B113" s="28">
        <v>-1.0</v>
      </c>
      <c r="C113" s="25" t="s">
        <v>109</v>
      </c>
      <c r="D113" s="29">
        <f t="shared" si="1"/>
        <v>0</v>
      </c>
    </row>
    <row r="114" ht="15.75" customHeight="1">
      <c r="A114" s="16" t="s">
        <v>119</v>
      </c>
      <c r="B114" s="28">
        <v>-0.25</v>
      </c>
      <c r="C114" s="25" t="s">
        <v>109</v>
      </c>
      <c r="D114" s="29">
        <f t="shared" si="1"/>
        <v>0</v>
      </c>
    </row>
    <row r="115" ht="15.75" customHeight="1">
      <c r="A115" s="16" t="s">
        <v>120</v>
      </c>
      <c r="B115" s="28">
        <v>-1.0</v>
      </c>
      <c r="C115" s="25" t="s">
        <v>109</v>
      </c>
      <c r="D115" s="29">
        <f t="shared" si="1"/>
        <v>0</v>
      </c>
    </row>
    <row r="116" ht="15.75" customHeight="1">
      <c r="A116" s="16" t="s">
        <v>121</v>
      </c>
      <c r="B116" s="28">
        <v>-1.0</v>
      </c>
      <c r="C116" s="25" t="s">
        <v>109</v>
      </c>
      <c r="D116" s="29">
        <f t="shared" si="1"/>
        <v>0</v>
      </c>
    </row>
    <row r="117" ht="15.75" customHeight="1">
      <c r="A117" s="16" t="s">
        <v>122</v>
      </c>
      <c r="B117" s="28">
        <v>-0.5</v>
      </c>
      <c r="C117" s="30" t="s">
        <v>97</v>
      </c>
      <c r="D117" s="29">
        <f t="shared" si="1"/>
        <v>-40</v>
      </c>
    </row>
    <row r="118" ht="15.75" customHeight="1">
      <c r="A118" s="16" t="s">
        <v>123</v>
      </c>
      <c r="B118" s="28">
        <v>-1.0</v>
      </c>
      <c r="C118" s="25" t="s">
        <v>109</v>
      </c>
      <c r="D118" s="29">
        <f t="shared" si="1"/>
        <v>0</v>
      </c>
    </row>
    <row r="119" ht="15.75" customHeight="1">
      <c r="A119" s="21" t="s">
        <v>124</v>
      </c>
      <c r="B119" s="23"/>
      <c r="C119" s="23"/>
      <c r="D119" s="24">
        <f>SUM(D104:D118)</f>
        <v>-40</v>
      </c>
    </row>
    <row r="120" ht="15.75" customHeight="1">
      <c r="A120" s="2"/>
      <c r="B120" s="2"/>
      <c r="C120" s="2"/>
      <c r="D120" s="2"/>
    </row>
    <row r="121" ht="21.75" customHeight="1">
      <c r="A121" s="31" t="s">
        <v>125</v>
      </c>
      <c r="B121" s="32"/>
      <c r="C121" s="32"/>
      <c r="D121" s="33">
        <f>MAX(0,ROUND($D$91+$D$119,2))</f>
        <v>40</v>
      </c>
    </row>
    <row r="122" ht="15.75" customHeight="1">
      <c r="A122" s="2"/>
      <c r="B122" s="2"/>
      <c r="C122" s="2"/>
      <c r="D122" s="2"/>
    </row>
    <row r="123" ht="15.75" customHeight="1">
      <c r="A123" s="4" t="s">
        <v>126</v>
      </c>
      <c r="B123" s="2"/>
      <c r="C123" s="2"/>
      <c r="D123" s="2"/>
    </row>
    <row r="124" ht="18.0" customHeight="1">
      <c r="A124" s="34"/>
      <c r="B124" s="35"/>
      <c r="C124" s="35"/>
      <c r="D124" s="36"/>
    </row>
    <row r="125" ht="18.0" customHeight="1">
      <c r="A125" s="34"/>
      <c r="B125" s="35"/>
      <c r="C125" s="35"/>
      <c r="D125" s="36"/>
    </row>
    <row r="126" ht="18.0" customHeight="1">
      <c r="A126" s="34"/>
      <c r="B126" s="35"/>
      <c r="C126" s="35"/>
      <c r="D126" s="36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37" t="s">
        <v>127</v>
      </c>
      <c r="B129" s="2"/>
      <c r="C129" s="37" t="s">
        <v>127</v>
      </c>
      <c r="D129" s="2"/>
    </row>
    <row r="130" ht="15.75" customHeight="1">
      <c r="A130" s="37" t="s">
        <v>128</v>
      </c>
      <c r="B130" s="2"/>
      <c r="C130" s="37" t="s">
        <v>129</v>
      </c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mergeCells count="6">
    <mergeCell ref="A14:D14"/>
    <mergeCell ref="A15:D15"/>
    <mergeCell ref="A16:D16"/>
    <mergeCell ref="A124:D124"/>
    <mergeCell ref="A125:D125"/>
    <mergeCell ref="A126:D126"/>
  </mergeCells>
  <conditionalFormatting sqref="D19:D90">
    <cfRule type="cellIs" dxfId="0" priority="1" operator="greaterThan">
      <formula>B19</formula>
    </cfRule>
  </conditionalFormatting>
  <dataValidations>
    <dataValidation type="list" allowBlank="1" sqref="B95:B100 C104:C118">
      <formula1>"Sí,No"</formula1>
    </dataValidation>
  </dataValidations>
  <printOptions horizontalCentered="1"/>
  <pageMargins bottom="1.0" footer="0.0" header="0.0" left="0.75" right="0.75" top="1.0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3.0"/>
    <col customWidth="1" min="5" max="5" width="14.0"/>
    <col customWidth="1" min="6" max="7" width="12.0"/>
    <col customWidth="1" min="8" max="8" width="13.0"/>
    <col customWidth="1" min="9" max="9" width="12.0"/>
    <col customWidth="1" min="10" max="26" width="8.71"/>
  </cols>
  <sheetData>
    <row r="1">
      <c r="A1" s="3" t="s">
        <v>146</v>
      </c>
      <c r="B1" s="2"/>
      <c r="C1" s="2"/>
      <c r="D1" s="2"/>
      <c r="E1" s="2"/>
      <c r="F1" s="2"/>
      <c r="G1" s="2"/>
      <c r="H1" s="2"/>
      <c r="I1" s="2"/>
    </row>
    <row r="2">
      <c r="A2" s="40" t="s">
        <v>147</v>
      </c>
      <c r="B2" s="2"/>
      <c r="C2" s="2"/>
      <c r="D2" s="2"/>
      <c r="E2" s="2"/>
      <c r="F2" s="2"/>
      <c r="G2" s="2"/>
      <c r="H2" s="2"/>
      <c r="I2" s="2"/>
    </row>
    <row r="3">
      <c r="A3" s="2"/>
      <c r="B3" s="2"/>
      <c r="C3" s="2"/>
      <c r="D3" s="2"/>
      <c r="E3" s="2"/>
      <c r="F3" s="2"/>
      <c r="G3" s="2"/>
      <c r="H3" s="2"/>
      <c r="I3" s="2"/>
    </row>
    <row r="4" ht="27.75" customHeight="1">
      <c r="A4" s="41" t="s">
        <v>148</v>
      </c>
      <c r="B4" s="41" t="s">
        <v>149</v>
      </c>
      <c r="C4" s="41" t="s">
        <v>150</v>
      </c>
      <c r="D4" s="41" t="s">
        <v>151</v>
      </c>
      <c r="E4" s="41" t="s">
        <v>152</v>
      </c>
      <c r="F4" s="41" t="s">
        <v>153</v>
      </c>
      <c r="G4" s="41" t="s">
        <v>154</v>
      </c>
      <c r="H4" s="41" t="s">
        <v>105</v>
      </c>
      <c r="I4" s="41" t="s">
        <v>155</v>
      </c>
    </row>
    <row r="5">
      <c r="A5" s="42">
        <v>1.0</v>
      </c>
      <c r="B5" s="25" t="s">
        <v>156</v>
      </c>
      <c r="C5" s="25" t="s">
        <v>157</v>
      </c>
      <c r="D5" s="25"/>
      <c r="E5" s="25"/>
      <c r="F5" s="25"/>
      <c r="G5" s="43">
        <f>SUM(D5:F5)</f>
        <v>0</v>
      </c>
      <c r="H5" s="44">
        <v>0.0</v>
      </c>
      <c r="I5" s="43">
        <f>MAX(0,ROUND(G5*(1+H5),2))</f>
        <v>0</v>
      </c>
    </row>
    <row r="6">
      <c r="A6" s="45">
        <v>1.0</v>
      </c>
      <c r="B6" s="25" t="s">
        <v>158</v>
      </c>
      <c r="C6" s="25" t="s">
        <v>159</v>
      </c>
      <c r="D6" s="25"/>
      <c r="E6" s="25"/>
      <c r="F6" s="25"/>
      <c r="G6" s="29">
        <f t="shared" ref="G6:G45" si="1">IF(C6="","",SUM(D6:F6))</f>
        <v>0</v>
      </c>
      <c r="H6" s="44">
        <v>0.0</v>
      </c>
      <c r="I6" s="46">
        <f t="shared" ref="I6:I45" si="2">IF(C6="","",MAX(0,ROUND(G6*(1+H6),2)))</f>
        <v>0</v>
      </c>
    </row>
    <row r="7">
      <c r="A7" s="45">
        <v>2.0</v>
      </c>
      <c r="B7" s="25" t="s">
        <v>160</v>
      </c>
      <c r="C7" s="25" t="s">
        <v>161</v>
      </c>
      <c r="D7" s="25"/>
      <c r="E7" s="25"/>
      <c r="F7" s="25"/>
      <c r="G7" s="29">
        <f t="shared" si="1"/>
        <v>0</v>
      </c>
      <c r="H7" s="44">
        <v>0.0</v>
      </c>
      <c r="I7" s="46">
        <f t="shared" si="2"/>
        <v>0</v>
      </c>
    </row>
    <row r="8">
      <c r="A8" s="45">
        <v>3.0</v>
      </c>
      <c r="B8" s="25" t="s">
        <v>162</v>
      </c>
      <c r="C8" s="25" t="s">
        <v>163</v>
      </c>
      <c r="D8" s="25"/>
      <c r="E8" s="25"/>
      <c r="F8" s="25"/>
      <c r="G8" s="29">
        <f t="shared" si="1"/>
        <v>0</v>
      </c>
      <c r="H8" s="44">
        <v>0.0</v>
      </c>
      <c r="I8" s="46">
        <f t="shared" si="2"/>
        <v>0</v>
      </c>
    </row>
    <row r="9">
      <c r="A9" s="45">
        <v>4.0</v>
      </c>
      <c r="B9" s="25" t="s">
        <v>164</v>
      </c>
      <c r="C9" s="25" t="s">
        <v>165</v>
      </c>
      <c r="D9" s="25"/>
      <c r="E9" s="25"/>
      <c r="F9" s="25"/>
      <c r="G9" s="29">
        <f t="shared" si="1"/>
        <v>0</v>
      </c>
      <c r="H9" s="44">
        <v>0.0</v>
      </c>
      <c r="I9" s="46">
        <f t="shared" si="2"/>
        <v>0</v>
      </c>
    </row>
    <row r="10">
      <c r="A10" s="45">
        <v>5.0</v>
      </c>
      <c r="B10" s="25" t="s">
        <v>166</v>
      </c>
      <c r="C10" s="25" t="s">
        <v>167</v>
      </c>
      <c r="D10" s="25"/>
      <c r="E10" s="25"/>
      <c r="F10" s="25"/>
      <c r="G10" s="29">
        <f t="shared" si="1"/>
        <v>0</v>
      </c>
      <c r="H10" s="44">
        <v>0.0</v>
      </c>
      <c r="I10" s="46">
        <f t="shared" si="2"/>
        <v>0</v>
      </c>
    </row>
    <row r="11">
      <c r="A11" s="45">
        <v>6.0</v>
      </c>
      <c r="B11" s="25" t="s">
        <v>168</v>
      </c>
      <c r="C11" s="25" t="s">
        <v>169</v>
      </c>
      <c r="D11" s="25"/>
      <c r="E11" s="25"/>
      <c r="F11" s="25"/>
      <c r="G11" s="29">
        <f t="shared" si="1"/>
        <v>0</v>
      </c>
      <c r="H11" s="44">
        <v>0.0</v>
      </c>
      <c r="I11" s="46">
        <f t="shared" si="2"/>
        <v>0</v>
      </c>
    </row>
    <row r="12">
      <c r="A12" s="45">
        <v>7.0</v>
      </c>
      <c r="B12" s="25" t="s">
        <v>170</v>
      </c>
      <c r="C12" s="25" t="s">
        <v>171</v>
      </c>
      <c r="D12" s="25"/>
      <c r="E12" s="25"/>
      <c r="F12" s="25"/>
      <c r="G12" s="29">
        <f t="shared" si="1"/>
        <v>0</v>
      </c>
      <c r="H12" s="44">
        <v>0.0</v>
      </c>
      <c r="I12" s="46">
        <f t="shared" si="2"/>
        <v>0</v>
      </c>
    </row>
    <row r="13">
      <c r="A13" s="45">
        <v>8.0</v>
      </c>
      <c r="B13" s="25" t="s">
        <v>172</v>
      </c>
      <c r="C13" s="25" t="s">
        <v>173</v>
      </c>
      <c r="D13" s="25"/>
      <c r="E13" s="25"/>
      <c r="F13" s="25"/>
      <c r="G13" s="29">
        <f t="shared" si="1"/>
        <v>0</v>
      </c>
      <c r="H13" s="44">
        <v>0.0</v>
      </c>
      <c r="I13" s="46">
        <f t="shared" si="2"/>
        <v>0</v>
      </c>
    </row>
    <row r="14">
      <c r="A14" s="45">
        <v>9.0</v>
      </c>
      <c r="B14" s="25" t="s">
        <v>174</v>
      </c>
      <c r="C14" s="25" t="s">
        <v>175</v>
      </c>
      <c r="D14" s="25"/>
      <c r="E14" s="25"/>
      <c r="F14" s="25"/>
      <c r="G14" s="29">
        <f t="shared" si="1"/>
        <v>0</v>
      </c>
      <c r="H14" s="44">
        <v>0.0</v>
      </c>
      <c r="I14" s="46">
        <f t="shared" si="2"/>
        <v>0</v>
      </c>
    </row>
    <row r="15">
      <c r="A15" s="45">
        <v>10.0</v>
      </c>
      <c r="B15" s="25" t="s">
        <v>176</v>
      </c>
      <c r="C15" s="25" t="s">
        <v>177</v>
      </c>
      <c r="D15" s="25"/>
      <c r="E15" s="25"/>
      <c r="F15" s="25"/>
      <c r="G15" s="29">
        <f t="shared" si="1"/>
        <v>0</v>
      </c>
      <c r="H15" s="44">
        <v>0.0</v>
      </c>
      <c r="I15" s="46">
        <f t="shared" si="2"/>
        <v>0</v>
      </c>
    </row>
    <row r="16">
      <c r="A16" s="45">
        <v>11.0</v>
      </c>
      <c r="B16" s="25" t="s">
        <v>178</v>
      </c>
      <c r="C16" s="25" t="s">
        <v>179</v>
      </c>
      <c r="D16" s="25"/>
      <c r="E16" s="25"/>
      <c r="F16" s="25"/>
      <c r="G16" s="29">
        <f t="shared" si="1"/>
        <v>0</v>
      </c>
      <c r="H16" s="44">
        <v>0.0</v>
      </c>
      <c r="I16" s="46">
        <f t="shared" si="2"/>
        <v>0</v>
      </c>
    </row>
    <row r="17">
      <c r="A17" s="45">
        <v>12.0</v>
      </c>
      <c r="B17" s="25" t="s">
        <v>180</v>
      </c>
      <c r="C17" s="25" t="s">
        <v>181</v>
      </c>
      <c r="D17" s="25"/>
      <c r="E17" s="25"/>
      <c r="F17" s="25"/>
      <c r="G17" s="29">
        <f t="shared" si="1"/>
        <v>0</v>
      </c>
      <c r="H17" s="44">
        <v>0.0</v>
      </c>
      <c r="I17" s="46">
        <f t="shared" si="2"/>
        <v>0</v>
      </c>
    </row>
    <row r="18">
      <c r="A18" s="45">
        <v>13.0</v>
      </c>
      <c r="B18" s="25" t="s">
        <v>182</v>
      </c>
      <c r="C18" s="25" t="s">
        <v>183</v>
      </c>
      <c r="D18" s="25"/>
      <c r="E18" s="25"/>
      <c r="F18" s="25"/>
      <c r="G18" s="29">
        <f t="shared" si="1"/>
        <v>0</v>
      </c>
      <c r="H18" s="44">
        <v>0.0</v>
      </c>
      <c r="I18" s="46">
        <f t="shared" si="2"/>
        <v>0</v>
      </c>
    </row>
    <row r="19">
      <c r="A19" s="45">
        <v>14.0</v>
      </c>
      <c r="B19" s="25" t="s">
        <v>184</v>
      </c>
      <c r="C19" s="25" t="s">
        <v>185</v>
      </c>
      <c r="D19" s="25"/>
      <c r="E19" s="25"/>
      <c r="F19" s="25"/>
      <c r="G19" s="29">
        <f t="shared" si="1"/>
        <v>0</v>
      </c>
      <c r="H19" s="44">
        <v>0.0</v>
      </c>
      <c r="I19" s="46">
        <f t="shared" si="2"/>
        <v>0</v>
      </c>
    </row>
    <row r="20">
      <c r="A20" s="45">
        <v>15.0</v>
      </c>
      <c r="B20" s="25" t="s">
        <v>186</v>
      </c>
      <c r="C20" s="25" t="s">
        <v>187</v>
      </c>
      <c r="D20" s="25"/>
      <c r="E20" s="25"/>
      <c r="F20" s="25"/>
      <c r="G20" s="29">
        <f t="shared" si="1"/>
        <v>0</v>
      </c>
      <c r="H20" s="44">
        <v>0.0</v>
      </c>
      <c r="I20" s="46">
        <f t="shared" si="2"/>
        <v>0</v>
      </c>
    </row>
    <row r="21" ht="15.75" customHeight="1">
      <c r="A21" s="45">
        <v>16.0</v>
      </c>
      <c r="B21" s="25" t="s">
        <v>188</v>
      </c>
      <c r="C21" s="25" t="s">
        <v>189</v>
      </c>
      <c r="D21" s="25"/>
      <c r="E21" s="25"/>
      <c r="F21" s="25"/>
      <c r="G21" s="29">
        <f t="shared" si="1"/>
        <v>0</v>
      </c>
      <c r="H21" s="44">
        <v>0.0</v>
      </c>
      <c r="I21" s="46">
        <f t="shared" si="2"/>
        <v>0</v>
      </c>
    </row>
    <row r="22" ht="15.75" customHeight="1">
      <c r="A22" s="45">
        <v>17.0</v>
      </c>
      <c r="B22" s="25" t="s">
        <v>190</v>
      </c>
      <c r="C22" s="25" t="s">
        <v>191</v>
      </c>
      <c r="D22" s="25"/>
      <c r="E22" s="25"/>
      <c r="F22" s="25"/>
      <c r="G22" s="29">
        <f t="shared" si="1"/>
        <v>0</v>
      </c>
      <c r="H22" s="44">
        <v>0.0</v>
      </c>
      <c r="I22" s="46">
        <f t="shared" si="2"/>
        <v>0</v>
      </c>
    </row>
    <row r="23" ht="15.75" customHeight="1">
      <c r="A23" s="45">
        <v>18.0</v>
      </c>
      <c r="B23" s="25" t="s">
        <v>192</v>
      </c>
      <c r="C23" s="25" t="s">
        <v>193</v>
      </c>
      <c r="D23" s="25"/>
      <c r="E23" s="25"/>
      <c r="F23" s="25"/>
      <c r="G23" s="29">
        <f t="shared" si="1"/>
        <v>0</v>
      </c>
      <c r="H23" s="44">
        <v>0.0</v>
      </c>
      <c r="I23" s="46">
        <f t="shared" si="2"/>
        <v>0</v>
      </c>
    </row>
    <row r="24" ht="15.75" customHeight="1">
      <c r="A24" s="45">
        <v>19.0</v>
      </c>
      <c r="B24" s="25" t="s">
        <v>194</v>
      </c>
      <c r="C24" s="25" t="s">
        <v>195</v>
      </c>
      <c r="D24" s="25"/>
      <c r="E24" s="25"/>
      <c r="F24" s="25"/>
      <c r="G24" s="29">
        <f t="shared" si="1"/>
        <v>0</v>
      </c>
      <c r="H24" s="44">
        <v>0.0</v>
      </c>
      <c r="I24" s="46">
        <f t="shared" si="2"/>
        <v>0</v>
      </c>
    </row>
    <row r="25" ht="15.75" customHeight="1">
      <c r="A25" s="45">
        <v>20.0</v>
      </c>
      <c r="B25" s="25" t="s">
        <v>196</v>
      </c>
      <c r="C25" s="25" t="s">
        <v>197</v>
      </c>
      <c r="D25" s="25"/>
      <c r="E25" s="25"/>
      <c r="F25" s="25"/>
      <c r="G25" s="29">
        <f t="shared" si="1"/>
        <v>0</v>
      </c>
      <c r="H25" s="44">
        <v>0.0</v>
      </c>
      <c r="I25" s="46">
        <f t="shared" si="2"/>
        <v>0</v>
      </c>
    </row>
    <row r="26" ht="15.75" customHeight="1">
      <c r="A26" s="45">
        <v>21.0</v>
      </c>
      <c r="B26" s="25" t="s">
        <v>198</v>
      </c>
      <c r="C26" s="25" t="s">
        <v>199</v>
      </c>
      <c r="D26" s="25"/>
      <c r="E26" s="25"/>
      <c r="F26" s="25"/>
      <c r="G26" s="29">
        <f t="shared" si="1"/>
        <v>0</v>
      </c>
      <c r="H26" s="44">
        <v>0.0</v>
      </c>
      <c r="I26" s="46">
        <f t="shared" si="2"/>
        <v>0</v>
      </c>
    </row>
    <row r="27" ht="15.75" customHeight="1">
      <c r="A27" s="45">
        <v>22.0</v>
      </c>
      <c r="B27" s="25" t="s">
        <v>200</v>
      </c>
      <c r="C27" s="25" t="s">
        <v>201</v>
      </c>
      <c r="D27" s="25"/>
      <c r="E27" s="25"/>
      <c r="F27" s="25"/>
      <c r="G27" s="29">
        <f t="shared" si="1"/>
        <v>0</v>
      </c>
      <c r="H27" s="44">
        <v>0.0</v>
      </c>
      <c r="I27" s="46">
        <f t="shared" si="2"/>
        <v>0</v>
      </c>
    </row>
    <row r="28" ht="15.75" customHeight="1">
      <c r="A28" s="45">
        <v>23.0</v>
      </c>
      <c r="B28" s="25" t="s">
        <v>202</v>
      </c>
      <c r="C28" s="25" t="s">
        <v>203</v>
      </c>
      <c r="D28" s="25"/>
      <c r="E28" s="25"/>
      <c r="F28" s="25"/>
      <c r="G28" s="29">
        <f t="shared" si="1"/>
        <v>0</v>
      </c>
      <c r="H28" s="44">
        <v>0.0</v>
      </c>
      <c r="I28" s="46">
        <f t="shared" si="2"/>
        <v>0</v>
      </c>
    </row>
    <row r="29" ht="15.75" customHeight="1">
      <c r="A29" s="45">
        <v>24.0</v>
      </c>
      <c r="B29" s="25" t="s">
        <v>204</v>
      </c>
      <c r="C29" s="25" t="s">
        <v>205</v>
      </c>
      <c r="D29" s="25"/>
      <c r="E29" s="25"/>
      <c r="F29" s="25"/>
      <c r="G29" s="29">
        <f t="shared" si="1"/>
        <v>0</v>
      </c>
      <c r="H29" s="44">
        <v>0.0</v>
      </c>
      <c r="I29" s="46">
        <f t="shared" si="2"/>
        <v>0</v>
      </c>
    </row>
    <row r="30" ht="15.75" customHeight="1">
      <c r="A30" s="45">
        <v>25.0</v>
      </c>
      <c r="B30" s="25" t="s">
        <v>206</v>
      </c>
      <c r="C30" s="25" t="s">
        <v>207</v>
      </c>
      <c r="D30" s="25"/>
      <c r="E30" s="25"/>
      <c r="F30" s="25"/>
      <c r="G30" s="29">
        <f t="shared" si="1"/>
        <v>0</v>
      </c>
      <c r="H30" s="44">
        <v>0.0</v>
      </c>
      <c r="I30" s="46">
        <f t="shared" si="2"/>
        <v>0</v>
      </c>
    </row>
    <row r="31" ht="15.75" customHeight="1">
      <c r="A31" s="45">
        <v>26.0</v>
      </c>
      <c r="B31" s="25" t="s">
        <v>208</v>
      </c>
      <c r="C31" s="25" t="s">
        <v>209</v>
      </c>
      <c r="D31" s="25"/>
      <c r="E31" s="25"/>
      <c r="F31" s="25"/>
      <c r="G31" s="29">
        <f t="shared" si="1"/>
        <v>0</v>
      </c>
      <c r="H31" s="44">
        <v>0.0</v>
      </c>
      <c r="I31" s="46">
        <f t="shared" si="2"/>
        <v>0</v>
      </c>
    </row>
    <row r="32" ht="15.75" customHeight="1">
      <c r="A32" s="45">
        <v>27.0</v>
      </c>
      <c r="B32" s="25" t="s">
        <v>210</v>
      </c>
      <c r="C32" s="25" t="s">
        <v>211</v>
      </c>
      <c r="D32" s="25"/>
      <c r="E32" s="25"/>
      <c r="F32" s="25"/>
      <c r="G32" s="29">
        <f t="shared" si="1"/>
        <v>0</v>
      </c>
      <c r="H32" s="44">
        <v>0.0</v>
      </c>
      <c r="I32" s="46">
        <f t="shared" si="2"/>
        <v>0</v>
      </c>
    </row>
    <row r="33" ht="15.75" customHeight="1">
      <c r="A33" s="45">
        <v>28.0</v>
      </c>
      <c r="B33" s="25" t="s">
        <v>212</v>
      </c>
      <c r="C33" s="25" t="s">
        <v>213</v>
      </c>
      <c r="D33" s="25"/>
      <c r="E33" s="25"/>
      <c r="F33" s="25"/>
      <c r="G33" s="29">
        <f t="shared" si="1"/>
        <v>0</v>
      </c>
      <c r="H33" s="44">
        <v>0.0</v>
      </c>
      <c r="I33" s="46">
        <f t="shared" si="2"/>
        <v>0</v>
      </c>
    </row>
    <row r="34" ht="15.75" customHeight="1">
      <c r="A34" s="45">
        <v>29.0</v>
      </c>
      <c r="B34" s="25"/>
      <c r="C34" s="25"/>
      <c r="D34" s="25"/>
      <c r="E34" s="25"/>
      <c r="F34" s="25"/>
      <c r="G34" s="29" t="str">
        <f t="shared" si="1"/>
        <v/>
      </c>
      <c r="H34" s="44">
        <v>0.0</v>
      </c>
      <c r="I34" s="46" t="str">
        <f t="shared" si="2"/>
        <v/>
      </c>
    </row>
    <row r="35" ht="15.75" customHeight="1">
      <c r="A35" s="45">
        <v>30.0</v>
      </c>
      <c r="B35" s="25"/>
      <c r="C35" s="25"/>
      <c r="D35" s="25"/>
      <c r="E35" s="25"/>
      <c r="F35" s="25"/>
      <c r="G35" s="29" t="str">
        <f t="shared" si="1"/>
        <v/>
      </c>
      <c r="H35" s="44">
        <v>0.0</v>
      </c>
      <c r="I35" s="46" t="str">
        <f t="shared" si="2"/>
        <v/>
      </c>
    </row>
    <row r="36" ht="15.75" customHeight="1">
      <c r="A36" s="45">
        <v>31.0</v>
      </c>
      <c r="B36" s="25"/>
      <c r="C36" s="25"/>
      <c r="D36" s="25"/>
      <c r="E36" s="25"/>
      <c r="F36" s="25"/>
      <c r="G36" s="29" t="str">
        <f t="shared" si="1"/>
        <v/>
      </c>
      <c r="H36" s="44">
        <v>0.0</v>
      </c>
      <c r="I36" s="46" t="str">
        <f t="shared" si="2"/>
        <v/>
      </c>
    </row>
    <row r="37" ht="15.75" customHeight="1">
      <c r="A37" s="45">
        <v>32.0</v>
      </c>
      <c r="B37" s="25"/>
      <c r="C37" s="25"/>
      <c r="D37" s="25"/>
      <c r="E37" s="25"/>
      <c r="F37" s="25"/>
      <c r="G37" s="29" t="str">
        <f t="shared" si="1"/>
        <v/>
      </c>
      <c r="H37" s="44">
        <v>0.0</v>
      </c>
      <c r="I37" s="46" t="str">
        <f t="shared" si="2"/>
        <v/>
      </c>
    </row>
    <row r="38" ht="15.75" customHeight="1">
      <c r="A38" s="45">
        <v>33.0</v>
      </c>
      <c r="B38" s="25"/>
      <c r="C38" s="25"/>
      <c r="D38" s="25"/>
      <c r="E38" s="25"/>
      <c r="F38" s="25"/>
      <c r="G38" s="29" t="str">
        <f t="shared" si="1"/>
        <v/>
      </c>
      <c r="H38" s="44">
        <v>0.0</v>
      </c>
      <c r="I38" s="46" t="str">
        <f t="shared" si="2"/>
        <v/>
      </c>
    </row>
    <row r="39" ht="15.75" customHeight="1">
      <c r="A39" s="45">
        <v>34.0</v>
      </c>
      <c r="B39" s="25"/>
      <c r="C39" s="25"/>
      <c r="D39" s="25"/>
      <c r="E39" s="25"/>
      <c r="F39" s="25"/>
      <c r="G39" s="29" t="str">
        <f t="shared" si="1"/>
        <v/>
      </c>
      <c r="H39" s="44">
        <v>0.0</v>
      </c>
      <c r="I39" s="46" t="str">
        <f t="shared" si="2"/>
        <v/>
      </c>
    </row>
    <row r="40" ht="15.75" customHeight="1">
      <c r="A40" s="45">
        <v>35.0</v>
      </c>
      <c r="B40" s="25"/>
      <c r="C40" s="25"/>
      <c r="D40" s="25"/>
      <c r="E40" s="25"/>
      <c r="F40" s="25"/>
      <c r="G40" s="29" t="str">
        <f t="shared" si="1"/>
        <v/>
      </c>
      <c r="H40" s="44">
        <v>0.0</v>
      </c>
      <c r="I40" s="46" t="str">
        <f t="shared" si="2"/>
        <v/>
      </c>
    </row>
    <row r="41" ht="15.75" customHeight="1">
      <c r="A41" s="45">
        <v>36.0</v>
      </c>
      <c r="B41" s="25"/>
      <c r="C41" s="25"/>
      <c r="D41" s="25"/>
      <c r="E41" s="25"/>
      <c r="F41" s="25"/>
      <c r="G41" s="29" t="str">
        <f t="shared" si="1"/>
        <v/>
      </c>
      <c r="H41" s="44">
        <v>0.0</v>
      </c>
      <c r="I41" s="46" t="str">
        <f t="shared" si="2"/>
        <v/>
      </c>
    </row>
    <row r="42" ht="15.75" customHeight="1">
      <c r="A42" s="45">
        <v>37.0</v>
      </c>
      <c r="B42" s="25"/>
      <c r="C42" s="25"/>
      <c r="D42" s="25"/>
      <c r="E42" s="25"/>
      <c r="F42" s="25"/>
      <c r="G42" s="29" t="str">
        <f t="shared" si="1"/>
        <v/>
      </c>
      <c r="H42" s="44">
        <v>0.0</v>
      </c>
      <c r="I42" s="46" t="str">
        <f t="shared" si="2"/>
        <v/>
      </c>
    </row>
    <row r="43" ht="15.75" customHeight="1">
      <c r="A43" s="45">
        <v>38.0</v>
      </c>
      <c r="B43" s="25"/>
      <c r="C43" s="25"/>
      <c r="D43" s="25"/>
      <c r="E43" s="25"/>
      <c r="F43" s="25"/>
      <c r="G43" s="29" t="str">
        <f t="shared" si="1"/>
        <v/>
      </c>
      <c r="H43" s="44">
        <v>0.0</v>
      </c>
      <c r="I43" s="46" t="str">
        <f t="shared" si="2"/>
        <v/>
      </c>
    </row>
    <row r="44" ht="15.75" customHeight="1">
      <c r="A44" s="45">
        <v>39.0</v>
      </c>
      <c r="B44" s="25"/>
      <c r="C44" s="25"/>
      <c r="D44" s="25"/>
      <c r="E44" s="25"/>
      <c r="F44" s="25"/>
      <c r="G44" s="29" t="str">
        <f t="shared" si="1"/>
        <v/>
      </c>
      <c r="H44" s="44">
        <v>0.0</v>
      </c>
      <c r="I44" s="46" t="str">
        <f t="shared" si="2"/>
        <v/>
      </c>
    </row>
    <row r="45" ht="15.75" customHeight="1">
      <c r="A45" s="45">
        <v>40.0</v>
      </c>
      <c r="B45" s="25"/>
      <c r="C45" s="25"/>
      <c r="D45" s="25"/>
      <c r="E45" s="25"/>
      <c r="F45" s="25"/>
      <c r="G45" s="29" t="str">
        <f t="shared" si="1"/>
        <v/>
      </c>
      <c r="H45" s="44">
        <v>0.0</v>
      </c>
      <c r="I45" s="46" t="str">
        <f t="shared" si="2"/>
        <v/>
      </c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</row>
    <row r="47" ht="15.75" customHeight="1">
      <c r="A47" s="2"/>
      <c r="B47" s="2"/>
      <c r="C47" s="47" t="s">
        <v>214</v>
      </c>
      <c r="D47" s="48">
        <f>COUNT(I6:I45)</f>
        <v>28</v>
      </c>
      <c r="E47" s="2"/>
      <c r="F47" s="2"/>
      <c r="G47" s="2"/>
      <c r="H47" s="2"/>
      <c r="I47" s="2"/>
    </row>
    <row r="48" ht="15.75" customHeight="1">
      <c r="A48" s="2"/>
      <c r="B48" s="2"/>
      <c r="C48" s="47" t="s">
        <v>215</v>
      </c>
      <c r="D48" s="24">
        <f>IFERROR(AVERAGE(I6:I45),0)</f>
        <v>0</v>
      </c>
      <c r="E48" s="2"/>
      <c r="F48" s="2"/>
      <c r="G48" s="2"/>
      <c r="H48" s="2"/>
      <c r="I48" s="2"/>
    </row>
    <row r="49" ht="15.75" customHeight="1">
      <c r="A49" s="2"/>
      <c r="B49" s="2"/>
      <c r="C49" s="47" t="s">
        <v>216</v>
      </c>
      <c r="D49" s="24">
        <f>IFERROR(MAX(I6:I45),0)</f>
        <v>0</v>
      </c>
      <c r="E49" s="2"/>
      <c r="F49" s="2"/>
      <c r="G49" s="2"/>
      <c r="H49" s="2"/>
      <c r="I49" s="2"/>
    </row>
    <row r="50" ht="15.75" customHeight="1">
      <c r="A50" s="2"/>
      <c r="B50" s="2"/>
      <c r="C50" s="47" t="s">
        <v>217</v>
      </c>
      <c r="D50" s="24">
        <f>IFERROR(MIN(I6:I45),0)</f>
        <v>0</v>
      </c>
      <c r="E50" s="2"/>
      <c r="F50" s="2"/>
      <c r="G50" s="2"/>
      <c r="H50" s="2"/>
      <c r="I50" s="2"/>
    </row>
    <row r="51" ht="15.75" customHeight="1">
      <c r="A51" s="2"/>
      <c r="B51" s="2"/>
      <c r="C51" s="47" t="s">
        <v>218</v>
      </c>
      <c r="D51" s="48">
        <f>COUNTIF(I6:I45,"&gt;=61")</f>
        <v>0</v>
      </c>
      <c r="E51" s="2"/>
      <c r="F51" s="2"/>
      <c r="G51" s="2"/>
      <c r="H51" s="2"/>
      <c r="I51" s="2"/>
    </row>
    <row r="52" ht="15.75" customHeight="1">
      <c r="A52" s="2"/>
      <c r="B52" s="2"/>
      <c r="C52" s="47" t="s">
        <v>219</v>
      </c>
      <c r="D52" s="48">
        <f>COUNT(I6:I45)-COUNTIF(I6:I45,"&gt;=61")</f>
        <v>28</v>
      </c>
      <c r="E52" s="2"/>
      <c r="F52" s="2"/>
      <c r="G52" s="2"/>
      <c r="H52" s="2"/>
      <c r="I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2026-08-11T02:28:14Z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